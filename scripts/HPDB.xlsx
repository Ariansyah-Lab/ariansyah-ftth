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USER YOFC\Downloads\KMZ TO HPDB\"/>
    </mc:Choice>
  </mc:AlternateContent>
  <xr:revisionPtr revIDLastSave="0" documentId="13_ncr:1_{FE7C1CB1-E132-44C8-93AC-6924105E3A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sheet" sheetId="2" r:id="rId1"/>
    <sheet name="FDT-1" sheetId="1" r:id="rId2"/>
  </sheets>
  <definedNames>
    <definedName name="_xlnm._FilterDatabase" localSheetId="1" hidden="1">'FDT-1'!$A$8:$BJ$64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0" i="1" l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AC10" i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B10" i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J11" i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U9" i="1"/>
  <c r="AJ10" i="1"/>
  <c r="AE10" i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X23" i="1" l="1"/>
  <c r="X22" i="1"/>
  <c r="X21" i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Z10" i="1"/>
  <c r="Z11" i="1" s="1"/>
  <c r="Z12" i="1" s="1"/>
  <c r="Z13" i="1" s="1"/>
  <c r="Z14" i="1" s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O10" i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P10" i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Q10" i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3" i="1" s="1"/>
  <c r="R10" i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S10" i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T10" i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3" i="1" s="1"/>
  <c r="U10" i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3" i="1" s="1"/>
  <c r="V10" i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3" i="1" s="1"/>
  <c r="W10" i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M10" i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J54" i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K54" i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I54" i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J41" i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K41" i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I41" i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J26" i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9" i="1" s="1"/>
  <c r="K26" i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9" i="1" s="1"/>
  <c r="I26" i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9" i="1" s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3" i="1" s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3" i="1" s="1"/>
  <c r="I10" i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3" i="1" s="1"/>
  <c r="AU10" i="1"/>
  <c r="AU11" i="1" s="1"/>
  <c r="AU12" i="1" s="1"/>
  <c r="AU13" i="1" s="1"/>
  <c r="AU14" i="1" s="1"/>
  <c r="AS10" i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4" i="1" s="1"/>
  <c r="AS25" i="1" s="1"/>
  <c r="AD10" i="1"/>
  <c r="L9" i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X37" i="1" l="1"/>
  <c r="X35" i="1"/>
  <c r="R38" i="1"/>
  <c r="S38" i="1"/>
  <c r="R37" i="1"/>
  <c r="P53" i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L34" i="1"/>
  <c r="L49" i="1" s="1"/>
  <c r="L62" i="1" s="1"/>
  <c r="S54" i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M54" i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38" i="1"/>
  <c r="N53" i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O53" i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W54" i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R54" i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L32" i="1"/>
  <c r="L47" i="1" s="1"/>
  <c r="L60" i="1" s="1"/>
  <c r="L37" i="1"/>
  <c r="L52" i="1" s="1"/>
  <c r="L36" i="1"/>
  <c r="L51" i="1" s="1"/>
  <c r="L64" i="1" s="1"/>
  <c r="L33" i="1"/>
  <c r="L48" i="1" s="1"/>
  <c r="L61" i="1" s="1"/>
  <c r="L35" i="1"/>
  <c r="L50" i="1" s="1"/>
  <c r="L63" i="1" s="1"/>
  <c r="S37" i="1"/>
  <c r="L30" i="1"/>
  <c r="L45" i="1" s="1"/>
  <c r="L58" i="1" s="1"/>
  <c r="L25" i="1"/>
  <c r="L29" i="1"/>
  <c r="L44" i="1" s="1"/>
  <c r="L57" i="1" s="1"/>
  <c r="L26" i="1"/>
  <c r="L41" i="1" s="1"/>
  <c r="L28" i="1"/>
  <c r="L43" i="1" s="1"/>
  <c r="L56" i="1" s="1"/>
  <c r="L39" i="1"/>
  <c r="L40" i="1" s="1"/>
  <c r="L27" i="1"/>
  <c r="L42" i="1" s="1"/>
  <c r="L55" i="1" s="1"/>
  <c r="L31" i="1"/>
  <c r="L46" i="1" s="1"/>
  <c r="L59" i="1" s="1"/>
  <c r="L38" i="1"/>
  <c r="J37" i="1"/>
  <c r="K37" i="1"/>
  <c r="I37" i="1"/>
  <c r="W37" i="1"/>
  <c r="M37" i="1"/>
  <c r="N37" i="1"/>
  <c r="O37" i="1"/>
  <c r="P37" i="1"/>
  <c r="J38" i="1"/>
  <c r="K38" i="1"/>
  <c r="W38" i="1"/>
  <c r="R23" i="1"/>
  <c r="S23" i="1"/>
  <c r="N38" i="1"/>
  <c r="O38" i="1"/>
  <c r="I38" i="1"/>
  <c r="P38" i="1"/>
  <c r="O22" i="1"/>
  <c r="N23" i="1"/>
  <c r="W23" i="1"/>
  <c r="M23" i="1"/>
  <c r="O23" i="1"/>
  <c r="AS23" i="1"/>
  <c r="P23" i="1"/>
  <c r="I21" i="1"/>
  <c r="I24" i="1" s="1"/>
  <c r="I22" i="1"/>
  <c r="K21" i="1"/>
  <c r="K24" i="1" s="1"/>
  <c r="K22" i="1"/>
  <c r="J21" i="1"/>
  <c r="J24" i="1" s="1"/>
  <c r="J22" i="1"/>
  <c r="V21" i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22" i="1"/>
  <c r="N22" i="1"/>
  <c r="M22" i="1"/>
  <c r="U21" i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22" i="1"/>
  <c r="T21" i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22" i="1"/>
  <c r="Q21" i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22" i="1"/>
  <c r="AS22" i="1"/>
  <c r="R22" i="1"/>
  <c r="S22" i="1"/>
  <c r="W22" i="1"/>
  <c r="P22" i="1"/>
  <c r="AS26" i="1"/>
  <c r="AS27" i="1" s="1"/>
  <c r="AS28" i="1" s="1"/>
  <c r="AS29" i="1" s="1"/>
  <c r="AS30" i="1" s="1"/>
  <c r="AS31" i="1" s="1"/>
  <c r="AS32" i="1" s="1"/>
  <c r="AS33" i="1" s="1"/>
  <c r="AS34" i="1" s="1"/>
  <c r="AU15" i="1"/>
  <c r="AU16" i="1" s="1"/>
  <c r="AU17" i="1" s="1"/>
  <c r="AU18" i="1" s="1"/>
  <c r="AU19" i="1" s="1"/>
  <c r="AU20" i="1" s="1"/>
  <c r="AU23" i="1" s="1"/>
  <c r="Z15" i="1"/>
  <c r="Z16" i="1" s="1"/>
  <c r="Z17" i="1" s="1"/>
  <c r="Z18" i="1" s="1"/>
  <c r="Z19" i="1" s="1"/>
  <c r="Z20" i="1" s="1"/>
  <c r="Z23" i="1" s="1"/>
  <c r="AA9" i="1"/>
  <c r="AA10" i="1" s="1"/>
  <c r="AA11" i="1" s="1"/>
  <c r="AA12" i="1" s="1"/>
  <c r="AA13" i="1" s="1"/>
  <c r="AD11" i="1"/>
  <c r="X38" i="1" l="1"/>
  <c r="X36" i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L54" i="1"/>
  <c r="L53" i="1"/>
  <c r="T35" i="1"/>
  <c r="T36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37" i="1"/>
  <c r="AS35" i="1"/>
  <c r="AS36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37" i="1"/>
  <c r="Q35" i="1"/>
  <c r="Q36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37" i="1"/>
  <c r="V35" i="1"/>
  <c r="V36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37" i="1"/>
  <c r="U35" i="1"/>
  <c r="U36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37" i="1"/>
  <c r="Z21" i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22" i="1"/>
  <c r="AU21" i="1"/>
  <c r="AU24" i="1" s="1"/>
  <c r="AU25" i="1" s="1"/>
  <c r="AU26" i="1" s="1"/>
  <c r="AU27" i="1" s="1"/>
  <c r="AU28" i="1" s="1"/>
  <c r="AU29" i="1" s="1"/>
  <c r="AU30" i="1" s="1"/>
  <c r="AU31" i="1" s="1"/>
  <c r="AU32" i="1" s="1"/>
  <c r="AU22" i="1"/>
  <c r="AA14" i="1"/>
  <c r="AA15" i="1" s="1"/>
  <c r="AA16" i="1" s="1"/>
  <c r="AA17" i="1" s="1"/>
  <c r="AA18" i="1" s="1"/>
  <c r="AA19" i="1" s="1"/>
  <c r="AA20" i="1" s="1"/>
  <c r="AA23" i="1" s="1"/>
  <c r="AD12" i="1"/>
  <c r="T38" i="1" l="1"/>
  <c r="AS38" i="1"/>
  <c r="V38" i="1"/>
  <c r="U53" i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V53" i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Q53" i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AS53" i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T53" i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Z35" i="1"/>
  <c r="Z36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37" i="1"/>
  <c r="Q38" i="1"/>
  <c r="U38" i="1"/>
  <c r="AA21" i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22" i="1"/>
  <c r="AU40" i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33" i="1"/>
  <c r="AU34" i="1" s="1"/>
  <c r="AD13" i="1"/>
  <c r="AD14" i="1" s="1"/>
  <c r="Z53" i="1" l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38" i="1"/>
  <c r="AU35" i="1"/>
  <c r="AU36" i="1" s="1"/>
  <c r="AU39" i="1" s="1"/>
  <c r="AU37" i="1"/>
  <c r="AA35" i="1"/>
  <c r="AA38" i="1" s="1"/>
  <c r="AA37" i="1"/>
  <c r="AU53" i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AU38" i="1" l="1"/>
  <c r="AA36" i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U64" i="1"/>
  <c r="AD15" i="1" l="1"/>
  <c r="AD16" i="1" l="1"/>
  <c r="AD17" i="1" l="1"/>
  <c r="AD18" i="1" l="1"/>
  <c r="AD19" i="1" l="1"/>
  <c r="AD20" i="1" l="1"/>
  <c r="AD22" i="1" l="1"/>
  <c r="AD23" i="1"/>
  <c r="AD21" i="1"/>
  <c r="AD24" i="1" s="1"/>
  <c r="AD25" i="1" l="1"/>
  <c r="AD26" i="1" s="1"/>
  <c r="AD27" i="1" s="1"/>
  <c r="AD28" i="1" s="1"/>
  <c r="AD29" i="1" s="1"/>
  <c r="AD30" i="1" s="1"/>
  <c r="AD31" i="1" s="1"/>
  <c r="AD32" i="1" s="1"/>
  <c r="AD33" i="1" s="1"/>
  <c r="AD34" i="1" s="1"/>
  <c r="AD35" i="1" l="1"/>
  <c r="AD36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37" i="1"/>
  <c r="AD53" i="1" l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38" i="1"/>
</calcChain>
</file>

<file path=xl/sharedStrings.xml><?xml version="1.0" encoding="utf-8"?>
<sst xmlns="http://schemas.openxmlformats.org/spreadsheetml/2006/main" count="587" uniqueCount="229">
  <si>
    <t>FIBER CORE ASSIGNMENT</t>
  </si>
  <si>
    <t>Region</t>
  </si>
  <si>
    <t>:</t>
  </si>
  <si>
    <t>BALI</t>
  </si>
  <si>
    <t>FDT TYPE</t>
  </si>
  <si>
    <t>OLT / Feeder Line</t>
  </si>
  <si>
    <t>HP / Construction type</t>
  </si>
  <si>
    <t>Cluster Name</t>
  </si>
  <si>
    <t>Distance From OLT</t>
  </si>
  <si>
    <t>m</t>
  </si>
  <si>
    <t>FDT ID</t>
  </si>
  <si>
    <t>COORDINATE FDT</t>
  </si>
  <si>
    <t>FDT Tray (Front)</t>
  </si>
  <si>
    <t>FDT 
Port</t>
  </si>
  <si>
    <t>Line</t>
  </si>
  <si>
    <t>Capacity</t>
  </si>
  <si>
    <t>Tube Colour</t>
  </si>
  <si>
    <t>Core Number</t>
  </si>
  <si>
    <t>FAT ID</t>
  </si>
  <si>
    <t>FAT Port</t>
  </si>
  <si>
    <t>Pole ID</t>
  </si>
  <si>
    <t>Pole Latitude</t>
  </si>
  <si>
    <t>Pole Longitude</t>
  </si>
  <si>
    <t>FAT Address</t>
  </si>
  <si>
    <t>Province</t>
  </si>
  <si>
    <t>regency_city</t>
  </si>
  <si>
    <t>district</t>
  </si>
  <si>
    <t>subdistrict</t>
  </si>
  <si>
    <t>postalcode</t>
  </si>
  <si>
    <t>Roll_Out_ID</t>
  </si>
  <si>
    <t>acquisition_class</t>
  </si>
  <si>
    <t>acquisition_tier</t>
  </si>
  <si>
    <t>competition</t>
  </si>
  <si>
    <t>project_id</t>
  </si>
  <si>
    <t>projectName</t>
  </si>
  <si>
    <t>Complex_name</t>
  </si>
  <si>
    <t>ClusterId</t>
  </si>
  <si>
    <t>Clustername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</si>
  <si>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</si>
  <si>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</si>
  <si>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</si>
  <si>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</si>
  <si>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</si>
  <si>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</si>
  <si>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</si>
  <si>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</si>
  <si>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</si>
  <si>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</si>
  <si>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</si>
  <si>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</si>
  <si>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</si>
  <si>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</si>
  <si>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</si>
  <si>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</si>
  <si>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</si>
  <si>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</si>
  <si>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</si>
  <si>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olthostname</t>
  </si>
  <si>
    <t>fdtcode</t>
  </si>
  <si>
    <t>fatcode</t>
  </si>
  <si>
    <t>RFSDate</t>
  </si>
  <si>
    <t>Latitude</t>
  </si>
  <si>
    <t>Longitude</t>
  </si>
  <si>
    <t>vendor_homepass_id</t>
  </si>
  <si>
    <t>residential_service_ready</t>
  </si>
  <si>
    <t>sme_service_ready</t>
  </si>
  <si>
    <t>enterprise_service_ready</t>
  </si>
  <si>
    <t>installation</t>
  </si>
  <si>
    <t>availability</t>
  </si>
  <si>
    <t>classification</t>
  </si>
  <si>
    <t>business_case</t>
  </si>
  <si>
    <t>network_presence</t>
  </si>
  <si>
    <t>wallplate_installation</t>
  </si>
  <si>
    <t>publish</t>
  </si>
  <si>
    <t>G1</t>
  </si>
  <si>
    <t>FTTH</t>
  </si>
  <si>
    <t>General Retail</t>
  </si>
  <si>
    <t>Single Dwelling Unit</t>
  </si>
  <si>
    <t>RFS</t>
  </si>
  <si>
    <t>48C</t>
  </si>
  <si>
    <t>24C/2T</t>
  </si>
  <si>
    <t>Line A</t>
  </si>
  <si>
    <t>A01</t>
  </si>
  <si>
    <t>A02</t>
  </si>
  <si>
    <t>A03</t>
  </si>
  <si>
    <t>A04</t>
  </si>
  <si>
    <t xml:space="preserve">JALAN </t>
  </si>
  <si>
    <t>-</t>
  </si>
  <si>
    <t>B01</t>
  </si>
  <si>
    <t>B02</t>
  </si>
  <si>
    <t>B03</t>
  </si>
  <si>
    <t>B04</t>
  </si>
  <si>
    <t>B05</t>
  </si>
  <si>
    <t>DENPASAR</t>
  </si>
  <si>
    <t>LATITUDE</t>
  </si>
  <si>
    <t>LONGITUDE</t>
  </si>
  <si>
    <t>NN - 65</t>
  </si>
  <si>
    <t>NN - 77</t>
  </si>
  <si>
    <t>NN - 76</t>
  </si>
  <si>
    <t>NN - 75</t>
  </si>
  <si>
    <t>NN - 74</t>
  </si>
  <si>
    <t>NN - 73</t>
  </si>
  <si>
    <t>NN - 55</t>
  </si>
  <si>
    <t>NN - 93</t>
  </si>
  <si>
    <t>NN - 92</t>
  </si>
  <si>
    <t>NN - 91</t>
  </si>
  <si>
    <t>NN - 86</t>
  </si>
  <si>
    <t>NN - 87</t>
  </si>
  <si>
    <t>NN - 60</t>
  </si>
  <si>
    <t>NN - 59</t>
  </si>
  <si>
    <t>NN - 58</t>
  </si>
  <si>
    <t>NN - 57</t>
  </si>
  <si>
    <t>NN - 56</t>
  </si>
  <si>
    <t>NN - 90</t>
  </si>
  <si>
    <t>NN - 89</t>
  </si>
  <si>
    <t>NN - 88</t>
  </si>
  <si>
    <t>NN - 61</t>
  </si>
  <si>
    <t>NN - 63</t>
  </si>
  <si>
    <t>NN - 66</t>
  </si>
  <si>
    <t>NN - 67</t>
  </si>
  <si>
    <t>NN - 68</t>
  </si>
  <si>
    <t>NN - 69</t>
  </si>
  <si>
    <t>NN - 29</t>
  </si>
  <si>
    <t>NN - 27</t>
  </si>
  <si>
    <t>NN - 71</t>
  </si>
  <si>
    <t>NN - 72</t>
  </si>
  <si>
    <t>NN - 62</t>
  </si>
  <si>
    <t>NN - 64</t>
  </si>
  <si>
    <t>NN - 102</t>
  </si>
  <si>
    <t>NN - 103</t>
  </si>
  <si>
    <t>NN - 104</t>
  </si>
  <si>
    <t>NN - 105</t>
  </si>
  <si>
    <t>NN - 106</t>
  </si>
  <si>
    <t>NN - 107</t>
  </si>
  <si>
    <t>NN - 70</t>
  </si>
  <si>
    <t>NN - 85</t>
  </si>
  <si>
    <t>NN - 28</t>
  </si>
  <si>
    <t>NN - 84</t>
  </si>
  <si>
    <t>NN - 83</t>
  </si>
  <si>
    <t>NN - 82</t>
  </si>
  <si>
    <t>NN - 81</t>
  </si>
  <si>
    <t>NN - 80</t>
  </si>
  <si>
    <t>NN - 79</t>
  </si>
  <si>
    <t>NN - 78</t>
  </si>
  <si>
    <t>NN - 94</t>
  </si>
  <si>
    <t>NN - 95</t>
  </si>
  <si>
    <t>NN - 96</t>
  </si>
  <si>
    <t>NN - 97</t>
  </si>
  <si>
    <t>NN - 98</t>
  </si>
  <si>
    <t>NN - 99</t>
  </si>
  <si>
    <t>NN - 100</t>
  </si>
  <si>
    <t>NN - 101</t>
  </si>
  <si>
    <t>NN - 54</t>
  </si>
  <si>
    <t>NN - 53</t>
  </si>
  <si>
    <t>NN - 52</t>
  </si>
  <si>
    <t>NN - 51</t>
  </si>
  <si>
    <t>NN - 49</t>
  </si>
  <si>
    <t>NN - 48</t>
  </si>
  <si>
    <t>NN - 47</t>
  </si>
  <si>
    <t>NN - 46</t>
  </si>
  <si>
    <t>NN - 45</t>
  </si>
  <si>
    <t>NN - 44</t>
  </si>
  <si>
    <t>NN - 43</t>
  </si>
  <si>
    <t>NN - 42</t>
  </si>
  <si>
    <t>NN - 41</t>
  </si>
  <si>
    <t>NN - 40</t>
  </si>
  <si>
    <t>NN - 39</t>
  </si>
  <si>
    <t>NN - 38</t>
  </si>
  <si>
    <t>NN - 37</t>
  </si>
  <si>
    <t>NN - 36</t>
  </si>
  <si>
    <t>NN - 35</t>
  </si>
  <si>
    <t>NN - 34</t>
  </si>
  <si>
    <t>NN - 33</t>
  </si>
  <si>
    <t>NN - 32</t>
  </si>
  <si>
    <t>NN - 31</t>
  </si>
  <si>
    <t>NN - 30</t>
  </si>
  <si>
    <t>NN - 26</t>
  </si>
  <si>
    <t>NN - 25</t>
  </si>
  <si>
    <t>NN - 24</t>
  </si>
  <si>
    <t>NN - 23</t>
  </si>
  <si>
    <t>NN - 18</t>
  </si>
  <si>
    <t>NN - 19</t>
  </si>
  <si>
    <t>NN - 20</t>
  </si>
  <si>
    <t>NN - 21</t>
  </si>
  <si>
    <t>NN - 22</t>
  </si>
  <si>
    <t>NN - 7</t>
  </si>
  <si>
    <t>NN - 8</t>
  </si>
  <si>
    <t>NN - 9</t>
  </si>
  <si>
    <t>NN - 10</t>
  </si>
  <si>
    <t>NN - 11</t>
  </si>
  <si>
    <t>NN - 14</t>
  </si>
  <si>
    <t>NN - 15</t>
  </si>
  <si>
    <t>NN - 16</t>
  </si>
  <si>
    <t>NN - 17</t>
  </si>
  <si>
    <t>NN - 13</t>
  </si>
  <si>
    <t>NN - 12</t>
  </si>
  <si>
    <t>NN - 6</t>
  </si>
  <si>
    <t>NN - 5</t>
  </si>
  <si>
    <t>NN - 4</t>
  </si>
  <si>
    <t>NN - 3</t>
  </si>
  <si>
    <t>MR.BRBNTS.P003</t>
  </si>
  <si>
    <t xml:space="preserve"> -8.400787°</t>
  </si>
  <si>
    <t>115.316815°</t>
  </si>
  <si>
    <t>BANJAR BANTAS MANUKAYA</t>
  </si>
  <si>
    <t>TAMPAKSIRING</t>
  </si>
  <si>
    <t>MANUKAYA</t>
  </si>
  <si>
    <t>MR.BRBNTS.P005</t>
  </si>
  <si>
    <t xml:space="preserve"> -8.401108°</t>
  </si>
  <si>
    <t>115.317761°</t>
  </si>
  <si>
    <t>MR.BRBNTS.P009</t>
  </si>
  <si>
    <t xml:space="preserve"> -8.402847°</t>
  </si>
  <si>
    <t>115.317143°</t>
  </si>
  <si>
    <t>MR.BRBNTS.P014</t>
  </si>
  <si>
    <t xml:space="preserve"> -8.402572°</t>
  </si>
  <si>
    <t>115.316321°</t>
  </si>
  <si>
    <t>BANJAR BANTAS MANUKAYA BALI</t>
  </si>
  <si>
    <t>DPS.100.2701.BRBNTS.043</t>
  </si>
  <si>
    <t>DPS.100.2701</t>
  </si>
  <si>
    <t>NN - 50</t>
  </si>
  <si>
    <t>105 HP/AERIAL</t>
  </si>
  <si>
    <t>-8.399814° 115.317131°</t>
  </si>
  <si>
    <t xml:space="preserve">ID CLUSTER </t>
  </si>
  <si>
    <t>POLE ID</t>
  </si>
  <si>
    <t>FAT CODE</t>
  </si>
  <si>
    <t>HP</t>
  </si>
  <si>
    <t>LINE</t>
  </si>
  <si>
    <t>FAT_STREET</t>
  </si>
  <si>
    <t>FAT_ID</t>
  </si>
  <si>
    <t>TOTAL_HP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</si>
</sst>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0.000000"/>
  </numFmts>
  <fonts count="25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b/>
      <sz val="10"/>
      <color theme="1"/>
      <name val="Calibri"/>
      <family val="2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b/>
      <sz val="10"/>
      <color rgb="FFFFFFFF"/>
      <name val="Calibri"/>
      <family val="2"/>
    </font>
    <font>
      <sz val="16"/>
      <color theme="1"/>
      <name val="Arial Unicode MS"/>
      <family val="2"/>
    </font>
    <font>
      <sz val="11"/>
      <color theme="1"/>
      <name val="Calibri"/>
      <family val="2"/>
    </font>
    <font>
      <sz val="10"/>
      <color rgb="FFFFFFFF"/>
      <name val="Calibri"/>
      <family val="2"/>
    </font>
    <font>
      <b/>
      <sz val="10"/>
      <color theme="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212529"/>
      <name val="Calibri"/>
      <family val="2"/>
    </font>
    <font>
      <sz val="11"/>
      <color rgb="FF000000"/>
      <name val="Calibri"/>
      <family val="2"/>
    </font>
    <font>
      <b/>
      <sz val="11"/>
      <color indexed="9"/>
      <name val="Calibri"/>
      <family val="2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25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25"/>
      </patternFill>
    </fill>
    <fill>
      <patternFill patternType="solid">
        <fgColor rgb="FFCC3300"/>
        <bgColor rgb="FFCC3300"/>
      </patternFill>
    </fill>
    <fill>
      <patternFill patternType="solid">
        <fgColor rgb="FF009900"/>
        <bgColor rgb="FF009900"/>
      </patternFill>
    </fill>
    <fill>
      <patternFill patternType="solid">
        <fgColor rgb="FFFFFF00"/>
        <bgColor indexed="57"/>
      </patternFill>
    </fill>
    <fill>
      <patternFill patternType="solid">
        <fgColor theme="0"/>
        <bgColor indexed="57"/>
      </patternFill>
    </fill>
    <fill>
      <patternFill patternType="solid">
        <fgColor rgb="FF008000"/>
        <bgColor rgb="FF339966"/>
      </patternFill>
    </fill>
    <fill>
      <patternFill patternType="solid">
        <fgColor rgb="FF993300"/>
        <bgColor rgb="FF993366"/>
      </patternFill>
    </fill>
    <fill>
      <patternFill patternType="solid">
        <fgColor rgb="FF339933"/>
        <bgColor indexed="64"/>
      </patternFill>
    </fill>
    <fill>
      <patternFill patternType="solid">
        <fgColor rgb="FF969696"/>
        <bgColor rgb="FF808080"/>
      </patternFill>
    </fill>
    <fill>
      <patternFill patternType="solid">
        <fgColor rgb="FF4472C4"/>
        <bgColor rgb="FF339966"/>
      </patternFill>
    </fill>
    <fill>
      <patternFill patternType="solid">
        <fgColor rgb="FFC00000"/>
        <bgColor rgb="FF339966"/>
      </patternFill>
    </fill>
    <fill>
      <patternFill patternType="solid">
        <fgColor rgb="FF00B050"/>
        <bgColor rgb="FF339966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0" fillId="0" borderId="0"/>
    <xf numFmtId="0" fontId="10" fillId="0" borderId="0"/>
    <xf numFmtId="0" fontId="17" fillId="0" borderId="0"/>
    <xf numFmtId="0" fontId="19" fillId="0" borderId="0"/>
  </cellStyleXfs>
  <cellXfs count="112">
    <xf numFmtId="0" fontId="0" fillId="0" borderId="0" xfId="0">
      <alignment vertical="center"/>
    </xf>
    <xf numFmtId="0" fontId="3" fillId="0" borderId="0" xfId="0" applyFont="1" applyAlignment="1" applyProtection="1">
      <protection locked="0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/>
    <xf numFmtId="164" fontId="3" fillId="0" borderId="0" xfId="0" applyNumberFormat="1" applyFont="1" applyAlignment="1"/>
    <xf numFmtId="0" fontId="5" fillId="0" borderId="0" xfId="0" applyFont="1" applyAlignment="1">
      <alignment horizontal="center"/>
    </xf>
    <xf numFmtId="0" fontId="7" fillId="0" borderId="0" xfId="1" applyFont="1" applyAlignment="1" applyProtection="1">
      <alignment horizontal="left" vertical="center"/>
      <protection locked="0"/>
    </xf>
    <xf numFmtId="0" fontId="10" fillId="0" borderId="0" xfId="1" applyAlignment="1" applyProtection="1">
      <alignment horizontal="left"/>
      <protection locked="0"/>
    </xf>
    <xf numFmtId="0" fontId="10" fillId="0" borderId="0" xfId="1" applyAlignment="1" applyProtection="1">
      <alignment horizontal="right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left"/>
      <protection locked="0"/>
    </xf>
    <xf numFmtId="0" fontId="10" fillId="0" borderId="0" xfId="1" applyAlignment="1" applyProtection="1">
      <alignment horizontal="left" vertical="center"/>
      <protection locked="0"/>
    </xf>
    <xf numFmtId="0" fontId="10" fillId="0" borderId="0" xfId="1" applyProtection="1">
      <protection locked="0"/>
    </xf>
    <xf numFmtId="0" fontId="10" fillId="0" borderId="0" xfId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 wrapText="1"/>
      <protection locked="0"/>
    </xf>
    <xf numFmtId="0" fontId="12" fillId="8" borderId="2" xfId="0" applyFont="1" applyFill="1" applyBorder="1" applyAlignment="1" applyProtection="1">
      <alignment horizontal="center" vertical="center" wrapText="1"/>
      <protection locked="0"/>
    </xf>
    <xf numFmtId="0" fontId="12" fillId="9" borderId="2" xfId="0" applyFont="1" applyFill="1" applyBorder="1" applyAlignment="1" applyProtection="1">
      <alignment horizontal="center" vertical="center" wrapText="1"/>
      <protection locked="0"/>
    </xf>
    <xf numFmtId="0" fontId="13" fillId="0" borderId="0" xfId="1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2" fillId="12" borderId="6" xfId="3" applyFont="1" applyFill="1" applyBorder="1" applyAlignment="1">
      <alignment horizontal="center" vertical="center" wrapText="1"/>
    </xf>
    <xf numFmtId="0" fontId="12" fillId="13" borderId="6" xfId="3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 applyProtection="1">
      <protection locked="0"/>
    </xf>
    <xf numFmtId="0" fontId="12" fillId="14" borderId="6" xfId="3" applyFont="1" applyFill="1" applyBorder="1" applyAlignment="1">
      <alignment horizontal="center" vertical="center" wrapText="1"/>
    </xf>
    <xf numFmtId="0" fontId="12" fillId="15" borderId="6" xfId="3" applyFont="1" applyFill="1" applyBorder="1" applyAlignment="1">
      <alignment horizontal="center" vertical="center" wrapText="1"/>
    </xf>
    <xf numFmtId="0" fontId="14" fillId="2" borderId="3" xfId="3" applyFont="1" applyFill="1" applyBorder="1" applyAlignment="1">
      <alignment horizontal="center" vertical="center" wrapText="1"/>
    </xf>
    <xf numFmtId="0" fontId="14" fillId="11" borderId="3" xfId="3" applyFont="1" applyFill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protection locked="0"/>
    </xf>
    <xf numFmtId="49" fontId="6" fillId="0" borderId="0" xfId="0" applyNumberFormat="1" applyFont="1" applyAlignment="1"/>
    <xf numFmtId="0" fontId="15" fillId="12" borderId="6" xfId="3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3" fillId="0" borderId="0" xfId="0" applyNumberFormat="1" applyFont="1" applyAlignment="1" applyProtection="1">
      <protection locked="0"/>
    </xf>
    <xf numFmtId="0" fontId="12" fillId="16" borderId="6" xfId="3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horizontal="center"/>
      <protection locked="0"/>
    </xf>
    <xf numFmtId="14" fontId="12" fillId="12" borderId="6" xfId="3" applyNumberFormat="1" applyFont="1" applyFill="1" applyBorder="1" applyAlignment="1">
      <alignment horizontal="center" vertical="center" wrapText="1"/>
    </xf>
    <xf numFmtId="0" fontId="12" fillId="17" borderId="6" xfId="3" applyFont="1" applyFill="1" applyBorder="1" applyAlignment="1">
      <alignment horizontal="center" vertical="center" wrapText="1"/>
    </xf>
    <xf numFmtId="0" fontId="12" fillId="18" borderId="6" xfId="3" applyFont="1" applyFill="1" applyBorder="1" applyAlignment="1">
      <alignment horizontal="center" vertical="center" wrapText="1"/>
    </xf>
    <xf numFmtId="0" fontId="16" fillId="15" borderId="6" xfId="3" applyFont="1" applyFill="1" applyBorder="1" applyAlignment="1">
      <alignment horizontal="center" vertical="center" wrapText="1"/>
    </xf>
    <xf numFmtId="0" fontId="12" fillId="15" borderId="10" xfId="3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0" fillId="0" borderId="0" xfId="1" applyFont="1" applyAlignment="1" applyProtection="1">
      <alignment horizontal="left"/>
      <protection locked="0"/>
    </xf>
    <xf numFmtId="0" fontId="3" fillId="0" borderId="11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center" vertical="center"/>
    </xf>
    <xf numFmtId="14" fontId="14" fillId="2" borderId="5" xfId="0" applyNumberFormat="1" applyFont="1" applyFill="1" applyBorder="1" applyAlignment="1">
      <alignment horizontal="center" vertical="center" wrapText="1"/>
    </xf>
    <xf numFmtId="0" fontId="3" fillId="5" borderId="3" xfId="1" applyFont="1" applyFill="1" applyBorder="1" applyAlignment="1" applyProtection="1">
      <alignment horizontal="center" vertical="center"/>
      <protection locked="0"/>
    </xf>
    <xf numFmtId="0" fontId="3" fillId="0" borderId="3" xfId="1" applyFont="1" applyBorder="1" applyAlignment="1" applyProtection="1">
      <alignment horizontal="center" vertical="center"/>
      <protection locked="0"/>
    </xf>
    <xf numFmtId="0" fontId="3" fillId="6" borderId="3" xfId="1" applyFont="1" applyFill="1" applyBorder="1" applyAlignment="1" applyProtection="1">
      <alignment horizontal="center" vertical="center"/>
      <protection locked="0"/>
    </xf>
    <xf numFmtId="14" fontId="14" fillId="0" borderId="5" xfId="0" applyNumberFormat="1" applyFont="1" applyBorder="1" applyAlignment="1">
      <alignment horizontal="center" vertical="center" wrapText="1"/>
    </xf>
    <xf numFmtId="0" fontId="3" fillId="0" borderId="9" xfId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20" fillId="4" borderId="4" xfId="3" applyFont="1" applyFill="1" applyBorder="1" applyAlignment="1">
      <alignment horizontal="center" vertical="center" wrapText="1"/>
    </xf>
    <xf numFmtId="0" fontId="14" fillId="4" borderId="3" xfId="3" applyFont="1" applyFill="1" applyBorder="1" applyAlignment="1">
      <alignment horizontal="center" vertical="center" wrapText="1"/>
    </xf>
    <xf numFmtId="0" fontId="14" fillId="10" borderId="3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3" xfId="0" applyFont="1" applyFill="1" applyBorder="1" applyAlignment="1"/>
    <xf numFmtId="0" fontId="5" fillId="2" borderId="3" xfId="1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/>
    </xf>
    <xf numFmtId="0" fontId="20" fillId="2" borderId="3" xfId="3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0" fillId="7" borderId="6" xfId="3" applyFont="1" applyFill="1" applyBorder="1" applyAlignment="1">
      <alignment horizontal="center" vertical="center" wrapText="1"/>
    </xf>
    <xf numFmtId="0" fontId="14" fillId="7" borderId="3" xfId="3" applyFont="1" applyFill="1" applyBorder="1" applyAlignment="1">
      <alignment horizontal="center" vertical="center" wrapText="1"/>
    </xf>
    <xf numFmtId="0" fontId="5" fillId="0" borderId="3" xfId="0" applyFont="1" applyBorder="1" applyAlignment="1"/>
    <xf numFmtId="0" fontId="5" fillId="0" borderId="3" xfId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>
      <alignment horizontal="center" vertical="center"/>
    </xf>
    <xf numFmtId="0" fontId="20" fillId="0" borderId="3" xfId="3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4" fillId="0" borderId="7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0" fontId="23" fillId="2" borderId="3" xfId="3" applyFont="1" applyFill="1" applyBorder="1" applyAlignment="1">
      <alignment horizontal="center" vertical="center" wrapText="1"/>
    </xf>
    <xf numFmtId="0" fontId="24" fillId="0" borderId="3" xfId="3" applyFont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/>
    </xf>
    <xf numFmtId="0" fontId="0" fillId="0" borderId="0" xfId="0" applyAlignment="1"/>
    <xf numFmtId="165" fontId="0" fillId="0" borderId="0" xfId="0" applyNumberFormat="1" applyAlignment="1"/>
    <xf numFmtId="0" fontId="0" fillId="2" borderId="0" xfId="0" applyFill="1" applyAlignment="1"/>
    <xf numFmtId="0" fontId="0" fillId="2" borderId="0" xfId="0" applyFill="1">
      <alignment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2" fillId="0" borderId="0" xfId="1" applyFont="1" applyAlignment="1" applyProtection="1">
      <alignment horizontal="left"/>
      <protection locked="0"/>
    </xf>
    <xf numFmtId="0" fontId="1" fillId="0" borderId="0" xfId="1" applyFont="1" applyAlignment="1" applyProtection="1">
      <alignment horizontal="left"/>
      <protection locked="0"/>
    </xf>
    <xf numFmtId="0" fontId="0" fillId="0" borderId="3" xfId="0" applyBorder="1">
      <alignment vertical="center"/>
    </xf>
    <xf numFmtId="0" fontId="3" fillId="0" borderId="5" xfId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</cellXfs>
  <cellStyles count="5">
    <cellStyle name="Normal" xfId="0" builtinId="0"/>
    <cellStyle name="Normal 18" xfId="1" xr:uid="{00000000-0005-0000-0000-000031000000}"/>
    <cellStyle name="Normal 2" xfId="4" xr:uid="{35825820-62BF-41B5-8180-3F69F985FD17}"/>
    <cellStyle name="Normal 2 13 2" xfId="2" xr:uid="{00000000-0005-0000-0000-000032000000}"/>
    <cellStyle name="Normal 2 2 2" xfId="3" xr:uid="{00000000-0005-0000-0000-00003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6EBF-9778-49A0-9C82-479DA1959886}">
  <dimension ref="A1:L106"/>
  <sheetViews>
    <sheetView workbookViewId="0">
      <selection activeCell="M19" sqref="M19"/>
    </sheetView>
  </sheetViews>
  <sheetFormatPr defaultRowHeight="13.5" x14ac:dyDescent="0.15"/>
  <cols>
    <col min="2" max="2" width="8.875" bestFit="1" customWidth="1"/>
    <col min="3" max="3" width="9.875" bestFit="1" customWidth="1"/>
    <col min="4" max="4" width="8.875" bestFit="1" customWidth="1"/>
    <col min="5" max="5" width="9.875" bestFit="1" customWidth="1"/>
    <col min="6" max="7" width="10.875" bestFit="1" customWidth="1"/>
    <col min="10" max="10" width="10.875" bestFit="1" customWidth="1"/>
    <col min="11" max="11" width="6.875" bestFit="1" customWidth="1"/>
    <col min="12" max="12" width="8.875" bestFit="1" customWidth="1"/>
  </cols>
  <sheetData>
    <row r="1" spans="1:12" s="97" customFormat="1" x14ac:dyDescent="0.15">
      <c r="A1" s="97" t="s">
        <v>222</v>
      </c>
      <c r="B1" s="96" t="s">
        <v>94</v>
      </c>
      <c r="C1" s="96" t="s">
        <v>95</v>
      </c>
      <c r="D1" s="96" t="s">
        <v>224</v>
      </c>
      <c r="E1" s="96" t="s">
        <v>94</v>
      </c>
      <c r="F1" s="96" t="s">
        <v>95</v>
      </c>
      <c r="G1" s="96" t="s">
        <v>223</v>
      </c>
      <c r="H1" s="97" t="s">
        <v>225</v>
      </c>
    </row>
    <row r="2" spans="1:12" x14ac:dyDescent="0.15">
      <c r="D2" s="94" t="s">
        <v>102</v>
      </c>
      <c r="E2" s="95">
        <v>-8.4003759999999996</v>
      </c>
      <c r="F2" s="95">
        <v>115.316676</v>
      </c>
      <c r="G2" s="94" t="s">
        <v>82</v>
      </c>
      <c r="J2" s="105" t="s">
        <v>226</v>
      </c>
      <c r="K2" s="105" t="s">
        <v>227</v>
      </c>
      <c r="L2" s="105" t="s">
        <v>228</v>
      </c>
    </row>
    <row r="3" spans="1:12" x14ac:dyDescent="0.15">
      <c r="D3" s="94" t="s">
        <v>101</v>
      </c>
      <c r="E3" s="95">
        <v>-8.4008529999999997</v>
      </c>
      <c r="F3" s="95">
        <v>115.316744</v>
      </c>
      <c r="G3" s="94" t="s">
        <v>82</v>
      </c>
      <c r="J3" s="105"/>
      <c r="K3" s="105"/>
      <c r="L3" s="105"/>
    </row>
    <row r="4" spans="1:12" x14ac:dyDescent="0.15">
      <c r="D4" s="94" t="s">
        <v>100</v>
      </c>
      <c r="E4" s="95">
        <v>-8.400919</v>
      </c>
      <c r="F4" s="95">
        <v>115.316716</v>
      </c>
      <c r="G4" s="94" t="s">
        <v>82</v>
      </c>
      <c r="J4" s="105"/>
      <c r="K4" s="105"/>
      <c r="L4" s="105"/>
    </row>
    <row r="5" spans="1:12" x14ac:dyDescent="0.15">
      <c r="D5" s="94" t="s">
        <v>99</v>
      </c>
      <c r="E5" s="95">
        <v>-8.4011060000000004</v>
      </c>
      <c r="F5" s="95">
        <v>115.31666199999999</v>
      </c>
      <c r="G5" s="94" t="s">
        <v>82</v>
      </c>
      <c r="J5" s="105"/>
      <c r="K5" s="105"/>
      <c r="L5" s="105"/>
    </row>
    <row r="6" spans="1:12" x14ac:dyDescent="0.15">
      <c r="D6" s="94" t="s">
        <v>98</v>
      </c>
      <c r="E6" s="95">
        <v>-8.4012899999999995</v>
      </c>
      <c r="F6" s="95">
        <v>115.316624</v>
      </c>
      <c r="G6" s="94" t="s">
        <v>82</v>
      </c>
      <c r="J6" s="105"/>
      <c r="K6" s="105"/>
      <c r="L6" s="105"/>
    </row>
    <row r="7" spans="1:12" x14ac:dyDescent="0.15">
      <c r="D7" s="94" t="s">
        <v>97</v>
      </c>
      <c r="E7" s="95">
        <v>-8.4014500000000005</v>
      </c>
      <c r="F7" s="95">
        <v>115.316554</v>
      </c>
      <c r="G7" s="94" t="s">
        <v>82</v>
      </c>
      <c r="J7" s="105"/>
      <c r="K7" s="105"/>
      <c r="L7" s="105"/>
    </row>
    <row r="8" spans="1:12" x14ac:dyDescent="0.15">
      <c r="D8" s="94" t="s">
        <v>143</v>
      </c>
      <c r="E8" s="95">
        <v>-8.4016310000000001</v>
      </c>
      <c r="F8" s="95">
        <v>115.31650399999999</v>
      </c>
      <c r="G8" s="94" t="s">
        <v>85</v>
      </c>
      <c r="J8" s="105"/>
      <c r="K8" s="105"/>
      <c r="L8" s="105"/>
    </row>
    <row r="9" spans="1:12" x14ac:dyDescent="0.15">
      <c r="D9" s="94" t="s">
        <v>142</v>
      </c>
      <c r="E9" s="95">
        <v>-8.4017909999999993</v>
      </c>
      <c r="F9" s="95">
        <v>115.316442</v>
      </c>
      <c r="G9" s="94" t="s">
        <v>85</v>
      </c>
      <c r="J9" s="105"/>
      <c r="K9" s="105"/>
      <c r="L9" s="105"/>
    </row>
    <row r="10" spans="1:12" x14ac:dyDescent="0.15">
      <c r="D10" s="94" t="s">
        <v>141</v>
      </c>
      <c r="E10" s="95">
        <v>-8.4019379999999995</v>
      </c>
      <c r="F10" s="95">
        <v>115.316433</v>
      </c>
      <c r="G10" s="94" t="s">
        <v>85</v>
      </c>
      <c r="J10" s="105"/>
      <c r="K10" s="105"/>
      <c r="L10" s="105"/>
    </row>
    <row r="11" spans="1:12" x14ac:dyDescent="0.15">
      <c r="D11" s="94" t="s">
        <v>145</v>
      </c>
      <c r="E11" s="95">
        <v>-8.4018549999999994</v>
      </c>
      <c r="F11" s="95">
        <v>115.316659</v>
      </c>
      <c r="G11" s="94" t="s">
        <v>85</v>
      </c>
    </row>
    <row r="12" spans="1:12" x14ac:dyDescent="0.15">
      <c r="D12" s="94" t="s">
        <v>144</v>
      </c>
      <c r="E12" s="95">
        <v>-8.4017130000000009</v>
      </c>
      <c r="F12" s="95">
        <v>115.31678599999999</v>
      </c>
      <c r="G12" s="94" t="s">
        <v>85</v>
      </c>
    </row>
    <row r="13" spans="1:12" x14ac:dyDescent="0.15">
      <c r="D13" s="94" t="s">
        <v>103</v>
      </c>
      <c r="E13" s="95">
        <v>-8.4013659999999994</v>
      </c>
      <c r="F13" s="95">
        <v>115.31685</v>
      </c>
      <c r="G13" s="94" t="s">
        <v>82</v>
      </c>
    </row>
    <row r="14" spans="1:12" x14ac:dyDescent="0.15">
      <c r="D14" s="94" t="s">
        <v>104</v>
      </c>
      <c r="E14" s="95">
        <v>-8.4012080000000005</v>
      </c>
      <c r="F14" s="95">
        <v>115.316884</v>
      </c>
      <c r="G14" s="94" t="s">
        <v>82</v>
      </c>
    </row>
    <row r="15" spans="1:12" x14ac:dyDescent="0.15">
      <c r="D15" s="94" t="s">
        <v>105</v>
      </c>
      <c r="E15" s="95">
        <v>-8.4010259999999999</v>
      </c>
      <c r="F15" s="95">
        <v>115.316924</v>
      </c>
      <c r="G15" s="94" t="s">
        <v>82</v>
      </c>
    </row>
    <row r="16" spans="1:12" x14ac:dyDescent="0.15">
      <c r="D16" s="94" t="s">
        <v>106</v>
      </c>
      <c r="E16" s="95">
        <v>-8.4008950000000002</v>
      </c>
      <c r="F16" s="95">
        <v>115.316946</v>
      </c>
      <c r="G16" s="94" t="s">
        <v>82</v>
      </c>
    </row>
    <row r="17" spans="4:7" x14ac:dyDescent="0.15">
      <c r="D17" s="94" t="s">
        <v>112</v>
      </c>
      <c r="E17" s="95">
        <v>-8.4007059999999996</v>
      </c>
      <c r="F17" s="95">
        <v>115.317003</v>
      </c>
      <c r="G17" s="94" t="s">
        <v>82</v>
      </c>
    </row>
    <row r="18" spans="4:7" x14ac:dyDescent="0.15">
      <c r="D18" s="94" t="s">
        <v>107</v>
      </c>
      <c r="E18" s="95">
        <v>-8.401014</v>
      </c>
      <c r="F18" s="95">
        <v>115.317151</v>
      </c>
      <c r="G18" s="94" t="s">
        <v>82</v>
      </c>
    </row>
    <row r="19" spans="4:7" x14ac:dyDescent="0.15">
      <c r="D19" s="94" t="s">
        <v>111</v>
      </c>
      <c r="E19" s="95">
        <v>-8.4008099999999999</v>
      </c>
      <c r="F19" s="95">
        <v>115.317306</v>
      </c>
      <c r="G19" s="94" t="s">
        <v>83</v>
      </c>
    </row>
    <row r="20" spans="4:7" x14ac:dyDescent="0.15">
      <c r="D20" s="94" t="s">
        <v>110</v>
      </c>
      <c r="E20" s="95">
        <v>-8.400836</v>
      </c>
      <c r="F20" s="95">
        <v>115.31742800000001</v>
      </c>
      <c r="G20" s="94" t="s">
        <v>83</v>
      </c>
    </row>
    <row r="21" spans="4:7" x14ac:dyDescent="0.15">
      <c r="D21" s="94" t="s">
        <v>109</v>
      </c>
      <c r="E21" s="95">
        <v>-8.4009459999999994</v>
      </c>
      <c r="F21" s="95">
        <v>115.31775500000001</v>
      </c>
      <c r="G21" s="94" t="s">
        <v>82</v>
      </c>
    </row>
    <row r="22" spans="4:7" x14ac:dyDescent="0.15">
      <c r="D22" s="94" t="s">
        <v>108</v>
      </c>
      <c r="E22" s="95">
        <v>-8.4010599999999993</v>
      </c>
      <c r="F22" s="95">
        <v>115.31783</v>
      </c>
      <c r="G22" s="94" t="s">
        <v>82</v>
      </c>
    </row>
    <row r="23" spans="4:7" x14ac:dyDescent="0.15">
      <c r="D23" s="94" t="s">
        <v>116</v>
      </c>
      <c r="E23" s="95">
        <v>-8.4015869999999993</v>
      </c>
      <c r="F23" s="95">
        <v>115.31767000000001</v>
      </c>
      <c r="G23" s="94" t="s">
        <v>83</v>
      </c>
    </row>
    <row r="24" spans="4:7" x14ac:dyDescent="0.15">
      <c r="D24" s="94" t="s">
        <v>117</v>
      </c>
      <c r="E24" s="95">
        <v>-8.4016839999999995</v>
      </c>
      <c r="F24" s="95">
        <v>115.31761400000001</v>
      </c>
      <c r="G24" s="94" t="s">
        <v>83</v>
      </c>
    </row>
    <row r="25" spans="4:7" x14ac:dyDescent="0.15">
      <c r="D25" s="94" t="s">
        <v>118</v>
      </c>
      <c r="E25" s="95">
        <v>-8.4018270000000008</v>
      </c>
      <c r="F25" s="95">
        <v>115.317583</v>
      </c>
      <c r="G25" s="94" t="s">
        <v>83</v>
      </c>
    </row>
    <row r="26" spans="4:7" x14ac:dyDescent="0.15">
      <c r="D26" s="94" t="s">
        <v>119</v>
      </c>
      <c r="E26" s="95">
        <v>-8.4018899999999999</v>
      </c>
      <c r="F26" s="95">
        <v>115.317548</v>
      </c>
      <c r="G26" s="94" t="s">
        <v>83</v>
      </c>
    </row>
    <row r="27" spans="4:7" x14ac:dyDescent="0.15">
      <c r="D27" s="94" t="s">
        <v>120</v>
      </c>
      <c r="E27" s="95">
        <v>-8.4019770000000005</v>
      </c>
      <c r="F27" s="95">
        <v>115.317595</v>
      </c>
      <c r="G27" s="94" t="s">
        <v>83</v>
      </c>
    </row>
    <row r="28" spans="4:7" x14ac:dyDescent="0.15">
      <c r="D28" s="94" t="s">
        <v>121</v>
      </c>
      <c r="E28" s="95">
        <v>-8.4020189999999992</v>
      </c>
      <c r="F28" s="95">
        <v>115.317525</v>
      </c>
      <c r="G28" s="94" t="s">
        <v>83</v>
      </c>
    </row>
    <row r="29" spans="4:7" x14ac:dyDescent="0.15">
      <c r="D29" s="94" t="s">
        <v>96</v>
      </c>
      <c r="E29" s="95">
        <v>-8.4012250000000002</v>
      </c>
      <c r="F29" s="95">
        <v>115.317475</v>
      </c>
      <c r="G29" s="94" t="s">
        <v>82</v>
      </c>
    </row>
    <row r="30" spans="4:7" x14ac:dyDescent="0.15">
      <c r="D30" s="94" t="s">
        <v>115</v>
      </c>
      <c r="E30" s="95">
        <v>-8.4014199999999999</v>
      </c>
      <c r="F30" s="95">
        <v>115.317503</v>
      </c>
      <c r="G30" s="94" t="s">
        <v>83</v>
      </c>
    </row>
    <row r="31" spans="4:7" x14ac:dyDescent="0.15">
      <c r="D31" s="94" t="s">
        <v>114</v>
      </c>
      <c r="E31" s="95">
        <v>-8.4016509999999993</v>
      </c>
      <c r="F31" s="95">
        <v>115.317431</v>
      </c>
      <c r="G31" s="94" t="s">
        <v>83</v>
      </c>
    </row>
    <row r="32" spans="4:7" x14ac:dyDescent="0.15">
      <c r="D32" s="94" t="s">
        <v>113</v>
      </c>
      <c r="E32" s="95">
        <v>-8.4018339999999991</v>
      </c>
      <c r="F32" s="95">
        <v>115.31737800000001</v>
      </c>
      <c r="G32" s="94" t="s">
        <v>83</v>
      </c>
    </row>
    <row r="33" spans="4:7" x14ac:dyDescent="0.15">
      <c r="D33" s="94" t="s">
        <v>128</v>
      </c>
      <c r="E33" s="95">
        <v>-8.4020410000000005</v>
      </c>
      <c r="F33" s="95">
        <v>115.31731600000001</v>
      </c>
      <c r="G33" s="94" t="s">
        <v>84</v>
      </c>
    </row>
    <row r="34" spans="4:7" x14ac:dyDescent="0.15">
      <c r="D34" s="94" t="s">
        <v>129</v>
      </c>
      <c r="E34" s="95">
        <v>-8.4023420000000009</v>
      </c>
      <c r="F34" s="95">
        <v>115.317198</v>
      </c>
      <c r="G34" s="94" t="s">
        <v>84</v>
      </c>
    </row>
    <row r="35" spans="4:7" x14ac:dyDescent="0.15">
      <c r="D35" s="94" t="s">
        <v>130</v>
      </c>
      <c r="E35" s="95">
        <v>-8.4025610000000004</v>
      </c>
      <c r="F35" s="95">
        <v>115.31711</v>
      </c>
      <c r="G35" s="94" t="s">
        <v>84</v>
      </c>
    </row>
    <row r="36" spans="4:7" x14ac:dyDescent="0.15">
      <c r="D36" s="94" t="s">
        <v>131</v>
      </c>
      <c r="E36" s="95">
        <v>-8.4027440000000002</v>
      </c>
      <c r="F36" s="95">
        <v>115.317092</v>
      </c>
      <c r="G36" s="94" t="s">
        <v>84</v>
      </c>
    </row>
    <row r="37" spans="4:7" x14ac:dyDescent="0.15">
      <c r="D37" s="94" t="s">
        <v>132</v>
      </c>
      <c r="E37" s="95">
        <v>-8.4029450000000008</v>
      </c>
      <c r="F37" s="95">
        <v>115.316992</v>
      </c>
      <c r="G37" s="94" t="s">
        <v>84</v>
      </c>
    </row>
    <row r="38" spans="4:7" x14ac:dyDescent="0.15">
      <c r="D38" s="94" t="s">
        <v>133</v>
      </c>
      <c r="E38" s="95">
        <v>-8.4030880000000003</v>
      </c>
      <c r="F38" s="95">
        <v>115.316889</v>
      </c>
      <c r="G38" s="94" t="s">
        <v>84</v>
      </c>
    </row>
    <row r="39" spans="4:7" x14ac:dyDescent="0.15">
      <c r="D39" s="94" t="s">
        <v>122</v>
      </c>
      <c r="E39" s="95">
        <v>-8.4033510000000007</v>
      </c>
      <c r="F39" s="95">
        <v>115.316721</v>
      </c>
      <c r="G39" s="94" t="s">
        <v>84</v>
      </c>
    </row>
    <row r="40" spans="4:7" x14ac:dyDescent="0.15">
      <c r="D40" s="94" t="s">
        <v>123</v>
      </c>
      <c r="E40" s="95">
        <v>-8.4035290000000007</v>
      </c>
      <c r="F40" s="95">
        <v>115.31673499999999</v>
      </c>
      <c r="G40" s="94" t="s">
        <v>84</v>
      </c>
    </row>
    <row r="41" spans="4:7" x14ac:dyDescent="0.15">
      <c r="D41" s="94" t="s">
        <v>124</v>
      </c>
      <c r="E41" s="95">
        <v>-8.4035150000000005</v>
      </c>
      <c r="F41" s="95">
        <v>115.31708999999999</v>
      </c>
      <c r="G41" s="94" t="s">
        <v>84</v>
      </c>
    </row>
    <row r="42" spans="4:7" x14ac:dyDescent="0.15">
      <c r="D42" s="94" t="s">
        <v>125</v>
      </c>
      <c r="E42" s="95">
        <v>-8.4036039999999996</v>
      </c>
      <c r="F42" s="95">
        <v>115.317072</v>
      </c>
      <c r="G42" s="94" t="s">
        <v>84</v>
      </c>
    </row>
    <row r="43" spans="4:7" x14ac:dyDescent="0.15">
      <c r="D43" s="94" t="s">
        <v>126</v>
      </c>
      <c r="E43" s="95">
        <v>-8.4037089999999992</v>
      </c>
      <c r="F43" s="95">
        <v>115.31699399999999</v>
      </c>
      <c r="G43" s="94" t="s">
        <v>84</v>
      </c>
    </row>
    <row r="44" spans="4:7" x14ac:dyDescent="0.15">
      <c r="D44" s="94" t="s">
        <v>127</v>
      </c>
      <c r="E44" s="95">
        <v>-8.4040520000000001</v>
      </c>
      <c r="F44" s="95">
        <v>115.31697</v>
      </c>
      <c r="G44" s="94" t="s">
        <v>84</v>
      </c>
    </row>
    <row r="45" spans="4:7" x14ac:dyDescent="0.15">
      <c r="D45" s="94" t="s">
        <v>134</v>
      </c>
      <c r="E45" s="95">
        <v>-8.4021059999999999</v>
      </c>
      <c r="F45" s="95">
        <v>115.317471</v>
      </c>
      <c r="G45" s="94" t="s">
        <v>84</v>
      </c>
    </row>
    <row r="46" spans="4:7" x14ac:dyDescent="0.15">
      <c r="D46" s="94" t="s">
        <v>135</v>
      </c>
      <c r="E46" s="95">
        <v>-8.4028310000000008</v>
      </c>
      <c r="F46" s="95">
        <v>115.31619600000001</v>
      </c>
      <c r="G46" s="94" t="s">
        <v>85</v>
      </c>
    </row>
    <row r="47" spans="4:7" x14ac:dyDescent="0.15">
      <c r="D47" s="94" t="s">
        <v>136</v>
      </c>
      <c r="E47" s="95">
        <v>-8.4029659999999993</v>
      </c>
      <c r="F47" s="95">
        <v>115.315636</v>
      </c>
      <c r="G47" s="94" t="s">
        <v>85</v>
      </c>
    </row>
    <row r="48" spans="4:7" x14ac:dyDescent="0.15">
      <c r="D48" s="94" t="s">
        <v>137</v>
      </c>
      <c r="E48" s="95">
        <v>-8.4026300000000003</v>
      </c>
      <c r="F48" s="95">
        <v>115.316238</v>
      </c>
      <c r="G48" s="94" t="s">
        <v>85</v>
      </c>
    </row>
    <row r="49" spans="4:7" x14ac:dyDescent="0.15">
      <c r="D49" s="94" t="s">
        <v>138</v>
      </c>
      <c r="E49" s="95">
        <v>-8.4024520000000003</v>
      </c>
      <c r="F49" s="95">
        <v>115.316295</v>
      </c>
      <c r="G49" s="94" t="s">
        <v>85</v>
      </c>
    </row>
    <row r="50" spans="4:7" x14ac:dyDescent="0.15">
      <c r="D50" s="94" t="s">
        <v>139</v>
      </c>
      <c r="E50" s="95">
        <v>-8.4022690000000004</v>
      </c>
      <c r="F50" s="95">
        <v>115.31632399999999</v>
      </c>
      <c r="G50" s="94" t="s">
        <v>85</v>
      </c>
    </row>
    <row r="51" spans="4:7" x14ac:dyDescent="0.15">
      <c r="D51" s="94" t="s">
        <v>140</v>
      </c>
      <c r="E51" s="95">
        <v>-8.4021229999999996</v>
      </c>
      <c r="F51" s="95">
        <v>115.316383</v>
      </c>
      <c r="G51" s="94" t="s">
        <v>85</v>
      </c>
    </row>
    <row r="52" spans="4:7" x14ac:dyDescent="0.15">
      <c r="D52" s="94" t="s">
        <v>146</v>
      </c>
      <c r="E52" s="95">
        <v>-8.4019999999999992</v>
      </c>
      <c r="F52" s="95">
        <v>115.316625</v>
      </c>
      <c r="G52" s="94" t="s">
        <v>85</v>
      </c>
    </row>
    <row r="53" spans="4:7" x14ac:dyDescent="0.15">
      <c r="D53" s="94" t="s">
        <v>147</v>
      </c>
      <c r="E53" s="95">
        <v>-8.4021279999999994</v>
      </c>
      <c r="F53" s="95">
        <v>115.316568</v>
      </c>
      <c r="G53" s="94" t="s">
        <v>85</v>
      </c>
    </row>
    <row r="54" spans="4:7" x14ac:dyDescent="0.15">
      <c r="D54" s="94" t="s">
        <v>148</v>
      </c>
      <c r="E54" s="95">
        <v>-8.4023299999999992</v>
      </c>
      <c r="F54" s="95">
        <v>115.316519</v>
      </c>
      <c r="G54" s="94" t="s">
        <v>85</v>
      </c>
    </row>
    <row r="55" spans="4:7" x14ac:dyDescent="0.15">
      <c r="D55" s="94" t="s">
        <v>149</v>
      </c>
      <c r="E55" s="95">
        <v>-8.4024809999999999</v>
      </c>
      <c r="F55" s="95">
        <v>115.31646499999999</v>
      </c>
      <c r="G55" s="94" t="s">
        <v>85</v>
      </c>
    </row>
    <row r="56" spans="4:7" x14ac:dyDescent="0.15">
      <c r="D56" s="94" t="s">
        <v>150</v>
      </c>
      <c r="E56" s="95">
        <v>-8.4026870000000002</v>
      </c>
      <c r="F56" s="95">
        <v>115.316417</v>
      </c>
      <c r="G56" s="94" t="s">
        <v>85</v>
      </c>
    </row>
    <row r="57" spans="4:7" x14ac:dyDescent="0.15">
      <c r="D57" s="94" t="s">
        <v>151</v>
      </c>
      <c r="E57" s="95">
        <v>-8.4028860000000005</v>
      </c>
      <c r="F57" s="95">
        <v>115.31639699999999</v>
      </c>
      <c r="G57" s="94" t="s">
        <v>85</v>
      </c>
    </row>
    <row r="58" spans="4:7" x14ac:dyDescent="0.15">
      <c r="D58" s="94" t="s">
        <v>152</v>
      </c>
      <c r="E58" s="95">
        <v>-8.3994470000000003</v>
      </c>
      <c r="F58" s="95">
        <v>115.31721400000001</v>
      </c>
      <c r="G58" s="94" t="s">
        <v>88</v>
      </c>
    </row>
    <row r="59" spans="4:7" x14ac:dyDescent="0.15">
      <c r="D59" s="94" t="s">
        <v>153</v>
      </c>
      <c r="E59" s="95">
        <v>-8.3993520000000004</v>
      </c>
      <c r="F59" s="95">
        <v>115.31727100000001</v>
      </c>
      <c r="G59" s="94" t="s">
        <v>88</v>
      </c>
    </row>
    <row r="60" spans="4:7" x14ac:dyDescent="0.15">
      <c r="D60" s="94" t="s">
        <v>154</v>
      </c>
      <c r="E60" s="95">
        <v>-8.3992299999999993</v>
      </c>
      <c r="F60" s="95">
        <v>115.317367</v>
      </c>
      <c r="G60" s="94" t="s">
        <v>88</v>
      </c>
    </row>
    <row r="61" spans="4:7" x14ac:dyDescent="0.15">
      <c r="D61" s="94" t="s">
        <v>155</v>
      </c>
      <c r="E61" s="95">
        <v>-8.3991179999999996</v>
      </c>
      <c r="F61" s="95">
        <v>115.31738799999999</v>
      </c>
      <c r="G61" s="94" t="s">
        <v>88</v>
      </c>
    </row>
    <row r="62" spans="4:7" x14ac:dyDescent="0.15">
      <c r="D62" s="94" t="s">
        <v>156</v>
      </c>
      <c r="E62" s="95">
        <v>-8.3989750000000001</v>
      </c>
      <c r="F62" s="95">
        <v>115.317427</v>
      </c>
      <c r="G62" s="94" t="s">
        <v>88</v>
      </c>
    </row>
    <row r="63" spans="4:7" x14ac:dyDescent="0.15">
      <c r="D63" s="94" t="s">
        <v>157</v>
      </c>
      <c r="E63" s="95">
        <v>-8.3994060000000008</v>
      </c>
      <c r="F63" s="95">
        <v>115.317415</v>
      </c>
      <c r="G63" s="94" t="s">
        <v>88</v>
      </c>
    </row>
    <row r="64" spans="4:7" x14ac:dyDescent="0.15">
      <c r="D64" s="94" t="s">
        <v>158</v>
      </c>
      <c r="E64" s="95">
        <v>-8.3993490000000008</v>
      </c>
      <c r="F64" s="95">
        <v>115.31744399999999</v>
      </c>
      <c r="G64" s="94" t="s">
        <v>88</v>
      </c>
    </row>
    <row r="65" spans="4:7" x14ac:dyDescent="0.15">
      <c r="D65" s="94" t="s">
        <v>159</v>
      </c>
      <c r="E65" s="95">
        <v>-8.3992819999999995</v>
      </c>
      <c r="F65" s="95">
        <v>115.317485</v>
      </c>
      <c r="G65" s="94" t="s">
        <v>88</v>
      </c>
    </row>
    <row r="66" spans="4:7" x14ac:dyDescent="0.15">
      <c r="D66" s="94" t="s">
        <v>160</v>
      </c>
      <c r="E66" s="95">
        <v>-8.3991939999999996</v>
      </c>
      <c r="F66" s="95">
        <v>115.317515</v>
      </c>
      <c r="G66" s="94" t="s">
        <v>88</v>
      </c>
    </row>
    <row r="67" spans="4:7" x14ac:dyDescent="0.15">
      <c r="D67" s="94" t="s">
        <v>161</v>
      </c>
      <c r="E67" s="95">
        <v>-8.3992210000000007</v>
      </c>
      <c r="F67" s="95">
        <v>115.317595</v>
      </c>
      <c r="G67" s="94" t="s">
        <v>88</v>
      </c>
    </row>
    <row r="68" spans="4:7" x14ac:dyDescent="0.15">
      <c r="D68" s="94" t="s">
        <v>162</v>
      </c>
      <c r="E68" s="95">
        <v>-8.3992330000000006</v>
      </c>
      <c r="F68" s="95">
        <v>115.317688</v>
      </c>
      <c r="G68" s="94" t="s">
        <v>88</v>
      </c>
    </row>
    <row r="69" spans="4:7" x14ac:dyDescent="0.15">
      <c r="D69" s="94" t="s">
        <v>163</v>
      </c>
      <c r="E69" s="95">
        <v>-8.3992719999999998</v>
      </c>
      <c r="F69" s="95">
        <v>115.317756</v>
      </c>
      <c r="G69" s="94" t="s">
        <v>88</v>
      </c>
    </row>
    <row r="70" spans="4:7" x14ac:dyDescent="0.15">
      <c r="D70" s="94" t="s">
        <v>164</v>
      </c>
      <c r="E70" s="95">
        <v>-8.3992249999999995</v>
      </c>
      <c r="F70" s="95">
        <v>115.31800699999999</v>
      </c>
      <c r="G70" s="94" t="s">
        <v>89</v>
      </c>
    </row>
    <row r="71" spans="4:7" x14ac:dyDescent="0.15">
      <c r="D71" s="94" t="s">
        <v>165</v>
      </c>
      <c r="E71" s="95">
        <v>-8.3992009999999997</v>
      </c>
      <c r="F71" s="95">
        <v>115.317933</v>
      </c>
      <c r="G71" s="94" t="s">
        <v>89</v>
      </c>
    </row>
    <row r="72" spans="4:7" x14ac:dyDescent="0.15">
      <c r="D72" s="94" t="s">
        <v>166</v>
      </c>
      <c r="E72" s="95">
        <v>-8.3991469999999993</v>
      </c>
      <c r="F72" s="95">
        <v>115.31787199999999</v>
      </c>
      <c r="G72" s="94" t="s">
        <v>89</v>
      </c>
    </row>
    <row r="73" spans="4:7" x14ac:dyDescent="0.15">
      <c r="D73" s="94" t="s">
        <v>167</v>
      </c>
      <c r="E73" s="95">
        <v>-8.3991310000000006</v>
      </c>
      <c r="F73" s="95">
        <v>115.317812</v>
      </c>
      <c r="G73" s="94" t="s">
        <v>89</v>
      </c>
    </row>
    <row r="74" spans="4:7" x14ac:dyDescent="0.15">
      <c r="D74" s="94" t="s">
        <v>168</v>
      </c>
      <c r="E74" s="95">
        <v>-8.3991050000000005</v>
      </c>
      <c r="F74" s="95">
        <v>115.317747</v>
      </c>
      <c r="G74" s="94" t="s">
        <v>89</v>
      </c>
    </row>
    <row r="75" spans="4:7" x14ac:dyDescent="0.15">
      <c r="D75" s="94" t="s">
        <v>169</v>
      </c>
      <c r="E75" s="95">
        <v>-8.3990609999999997</v>
      </c>
      <c r="F75" s="95">
        <v>115.317688</v>
      </c>
      <c r="G75" s="94" t="s">
        <v>89</v>
      </c>
    </row>
    <row r="76" spans="4:7" x14ac:dyDescent="0.15">
      <c r="D76" s="94" t="s">
        <v>170</v>
      </c>
      <c r="E76" s="95">
        <v>-8.3990419999999997</v>
      </c>
      <c r="F76" s="95">
        <v>115.317639</v>
      </c>
      <c r="G76" s="94" t="s">
        <v>89</v>
      </c>
    </row>
    <row r="77" spans="4:7" x14ac:dyDescent="0.15">
      <c r="D77" s="94" t="s">
        <v>171</v>
      </c>
      <c r="E77" s="95">
        <v>-8.3990670000000005</v>
      </c>
      <c r="F77" s="95">
        <v>115.317578</v>
      </c>
      <c r="G77" s="94" t="s">
        <v>89</v>
      </c>
    </row>
    <row r="78" spans="4:7" x14ac:dyDescent="0.15">
      <c r="D78" s="94" t="s">
        <v>172</v>
      </c>
      <c r="E78" s="95">
        <v>-8.3989600000000006</v>
      </c>
      <c r="F78" s="95">
        <v>115.31761899999999</v>
      </c>
      <c r="G78" s="94" t="s">
        <v>89</v>
      </c>
    </row>
    <row r="79" spans="4:7" x14ac:dyDescent="0.15">
      <c r="D79" s="94" t="s">
        <v>173</v>
      </c>
      <c r="E79" s="95">
        <v>-8.3988870000000002</v>
      </c>
      <c r="F79" s="95">
        <v>115.317667</v>
      </c>
      <c r="G79" s="94" t="s">
        <v>89</v>
      </c>
    </row>
    <row r="80" spans="4:7" x14ac:dyDescent="0.15">
      <c r="D80" s="94" t="s">
        <v>174</v>
      </c>
      <c r="E80" s="95">
        <v>-8.3988160000000001</v>
      </c>
      <c r="F80" s="95">
        <v>115.317757</v>
      </c>
      <c r="G80" s="94" t="s">
        <v>89</v>
      </c>
    </row>
    <row r="81" spans="4:7" x14ac:dyDescent="0.15">
      <c r="D81" s="94" t="s">
        <v>175</v>
      </c>
      <c r="E81" s="95">
        <v>-8.3986879999999999</v>
      </c>
      <c r="F81" s="95">
        <v>115.317984</v>
      </c>
      <c r="G81" s="94" t="s">
        <v>89</v>
      </c>
    </row>
    <row r="82" spans="4:7" x14ac:dyDescent="0.15">
      <c r="D82" s="94" t="s">
        <v>176</v>
      </c>
      <c r="E82" s="95">
        <v>-8.3984349999999992</v>
      </c>
      <c r="F82" s="95">
        <v>115.318375</v>
      </c>
      <c r="G82" s="94" t="s">
        <v>90</v>
      </c>
    </row>
    <row r="83" spans="4:7" x14ac:dyDescent="0.15">
      <c r="D83" s="94" t="s">
        <v>177</v>
      </c>
      <c r="E83" s="95">
        <v>-8.3983930000000004</v>
      </c>
      <c r="F83" s="95">
        <v>115.31842</v>
      </c>
      <c r="G83" s="94" t="s">
        <v>90</v>
      </c>
    </row>
    <row r="84" spans="4:7" x14ac:dyDescent="0.15">
      <c r="D84" s="94" t="s">
        <v>178</v>
      </c>
      <c r="E84" s="95">
        <v>-8.3983539999999994</v>
      </c>
      <c r="F84" s="95">
        <v>115.318484</v>
      </c>
      <c r="G84" s="94" t="s">
        <v>90</v>
      </c>
    </row>
    <row r="85" spans="4:7" x14ac:dyDescent="0.15">
      <c r="D85" s="94" t="s">
        <v>179</v>
      </c>
      <c r="E85" s="95">
        <v>-8.3983000000000008</v>
      </c>
      <c r="F85" s="95">
        <v>115.318527</v>
      </c>
      <c r="G85" s="94" t="s">
        <v>90</v>
      </c>
    </row>
    <row r="86" spans="4:7" x14ac:dyDescent="0.15">
      <c r="D86" s="94" t="s">
        <v>180</v>
      </c>
      <c r="E86" s="95">
        <v>-8.3984380000000005</v>
      </c>
      <c r="F86" s="95">
        <v>115.31866100000001</v>
      </c>
      <c r="G86" s="94" t="s">
        <v>90</v>
      </c>
    </row>
    <row r="87" spans="4:7" x14ac:dyDescent="0.15">
      <c r="D87" s="94" t="s">
        <v>181</v>
      </c>
      <c r="E87" s="95">
        <v>-8.398517</v>
      </c>
      <c r="F87" s="95">
        <v>115.318629</v>
      </c>
      <c r="G87" s="94" t="s">
        <v>90</v>
      </c>
    </row>
    <row r="88" spans="4:7" x14ac:dyDescent="0.15">
      <c r="D88" s="94" t="s">
        <v>182</v>
      </c>
      <c r="E88" s="95">
        <v>-8.3985979999999998</v>
      </c>
      <c r="F88" s="95">
        <v>115.318613</v>
      </c>
      <c r="G88" s="94" t="s">
        <v>90</v>
      </c>
    </row>
    <row r="89" spans="4:7" x14ac:dyDescent="0.15">
      <c r="D89" s="94" t="s">
        <v>183</v>
      </c>
      <c r="E89" s="95">
        <v>-8.3986490000000007</v>
      </c>
      <c r="F89" s="95">
        <v>115.31859</v>
      </c>
      <c r="G89" s="94" t="s">
        <v>90</v>
      </c>
    </row>
    <row r="90" spans="4:7" x14ac:dyDescent="0.15">
      <c r="D90" s="94" t="s">
        <v>184</v>
      </c>
      <c r="E90" s="95">
        <v>-8.3987049999999996</v>
      </c>
      <c r="F90" s="95">
        <v>115.31861600000001</v>
      </c>
      <c r="G90" s="94" t="s">
        <v>90</v>
      </c>
    </row>
    <row r="91" spans="4:7" x14ac:dyDescent="0.15">
      <c r="D91" s="94" t="s">
        <v>218</v>
      </c>
      <c r="E91" s="95">
        <v>-8.3988399999999999</v>
      </c>
      <c r="F91" s="95">
        <v>115.319986</v>
      </c>
      <c r="G91" s="94" t="s">
        <v>91</v>
      </c>
    </row>
    <row r="92" spans="4:7" x14ac:dyDescent="0.15">
      <c r="D92" s="94" t="s">
        <v>185</v>
      </c>
      <c r="E92" s="95">
        <v>-8.3981379999999994</v>
      </c>
      <c r="F92" s="95">
        <v>115.319451</v>
      </c>
      <c r="G92" s="94" t="s">
        <v>91</v>
      </c>
    </row>
    <row r="93" spans="4:7" x14ac:dyDescent="0.15">
      <c r="D93" s="94" t="s">
        <v>186</v>
      </c>
      <c r="E93" s="95">
        <v>-8.3982250000000001</v>
      </c>
      <c r="F93" s="95">
        <v>115.319543</v>
      </c>
      <c r="G93" s="94" t="s">
        <v>91</v>
      </c>
    </row>
    <row r="94" spans="4:7" x14ac:dyDescent="0.15">
      <c r="D94" s="94" t="s">
        <v>187</v>
      </c>
      <c r="E94" s="95">
        <v>-8.3982890000000001</v>
      </c>
      <c r="F94" s="95">
        <v>115.319749</v>
      </c>
      <c r="G94" s="94" t="s">
        <v>91</v>
      </c>
    </row>
    <row r="95" spans="4:7" x14ac:dyDescent="0.15">
      <c r="D95" s="94" t="s">
        <v>188</v>
      </c>
      <c r="E95" s="95">
        <v>-8.3983279999999993</v>
      </c>
      <c r="F95" s="95">
        <v>115.319805</v>
      </c>
      <c r="G95" s="94" t="s">
        <v>91</v>
      </c>
    </row>
    <row r="96" spans="4:7" x14ac:dyDescent="0.15">
      <c r="D96" s="94" t="s">
        <v>189</v>
      </c>
      <c r="E96" s="95">
        <v>-8.3983450000000008</v>
      </c>
      <c r="F96" s="95">
        <v>115.3199</v>
      </c>
      <c r="G96" s="94" t="s">
        <v>91</v>
      </c>
    </row>
    <row r="97" spans="4:7" x14ac:dyDescent="0.15">
      <c r="D97" s="94" t="s">
        <v>190</v>
      </c>
      <c r="E97" s="95">
        <v>-8.3984670000000001</v>
      </c>
      <c r="F97" s="95">
        <v>115.320176</v>
      </c>
      <c r="G97" s="94" t="s">
        <v>91</v>
      </c>
    </row>
    <row r="98" spans="4:7" x14ac:dyDescent="0.15">
      <c r="D98" s="94" t="s">
        <v>191</v>
      </c>
      <c r="E98" s="95">
        <v>-8.3985660000000006</v>
      </c>
      <c r="F98" s="95">
        <v>115.32030899999999</v>
      </c>
      <c r="G98" s="94" t="s">
        <v>91</v>
      </c>
    </row>
    <row r="99" spans="4:7" x14ac:dyDescent="0.15">
      <c r="D99" s="94" t="s">
        <v>192</v>
      </c>
      <c r="E99" s="95">
        <v>-8.3986149999999995</v>
      </c>
      <c r="F99" s="95">
        <v>115.320257</v>
      </c>
      <c r="G99" s="94" t="s">
        <v>91</v>
      </c>
    </row>
    <row r="100" spans="4:7" x14ac:dyDescent="0.15">
      <c r="D100" s="94" t="s">
        <v>193</v>
      </c>
      <c r="E100" s="95">
        <v>-8.3986830000000001</v>
      </c>
      <c r="F100" s="95">
        <v>115.32021</v>
      </c>
      <c r="G100" s="94" t="s">
        <v>91</v>
      </c>
    </row>
    <row r="101" spans="4:7" x14ac:dyDescent="0.15">
      <c r="D101" s="94" t="s">
        <v>194</v>
      </c>
      <c r="E101" s="95">
        <v>-8.398574</v>
      </c>
      <c r="F101" s="95">
        <v>115.319952</v>
      </c>
      <c r="G101" s="94" t="s">
        <v>91</v>
      </c>
    </row>
    <row r="102" spans="4:7" x14ac:dyDescent="0.15">
      <c r="D102" s="94" t="s">
        <v>195</v>
      </c>
      <c r="E102" s="95">
        <v>-8.3984889999999996</v>
      </c>
      <c r="F102" s="95">
        <v>115.319774</v>
      </c>
      <c r="G102" s="94" t="s">
        <v>91</v>
      </c>
    </row>
    <row r="103" spans="4:7" x14ac:dyDescent="0.15">
      <c r="D103" s="94" t="s">
        <v>196</v>
      </c>
      <c r="E103" s="95">
        <v>-8.3973200000000006</v>
      </c>
      <c r="F103" s="95">
        <v>115.31934</v>
      </c>
      <c r="G103" s="94" t="s">
        <v>92</v>
      </c>
    </row>
    <row r="104" spans="4:7" x14ac:dyDescent="0.15">
      <c r="D104" s="94" t="s">
        <v>197</v>
      </c>
      <c r="E104" s="95">
        <v>-8.3972300000000004</v>
      </c>
      <c r="F104" s="95">
        <v>115.319422</v>
      </c>
      <c r="G104" s="94" t="s">
        <v>92</v>
      </c>
    </row>
    <row r="105" spans="4:7" x14ac:dyDescent="0.15">
      <c r="D105" s="94" t="s">
        <v>198</v>
      </c>
      <c r="E105" s="95">
        <v>-8.3970400000000005</v>
      </c>
      <c r="F105" s="95">
        <v>115.319536</v>
      </c>
      <c r="G105" s="94" t="s">
        <v>92</v>
      </c>
    </row>
    <row r="106" spans="4:7" x14ac:dyDescent="0.15">
      <c r="D106" s="94" t="s">
        <v>199</v>
      </c>
      <c r="E106" s="95">
        <v>-8.3969699999999996</v>
      </c>
      <c r="F106" s="95">
        <v>115.320052</v>
      </c>
      <c r="G106" s="94" t="s">
        <v>92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4"/>
  <sheetViews>
    <sheetView tabSelected="1" zoomScale="73" zoomScaleNormal="85" workbookViewId="0">
      <pane xSplit="8" ySplit="8" topLeftCell="I9" activePane="bottomRight" state="frozen"/>
      <selection pane="topRight"/>
      <selection pane="bottomLeft"/>
      <selection pane="bottomRight" activeCell="L15" sqref="L15"/>
    </sheetView>
  </sheetViews>
  <sheetFormatPr defaultColWidth="7.75" defaultRowHeight="18" customHeight="1" x14ac:dyDescent="0.25"/>
  <cols>
    <col min="1" max="1" width="9" style="1" customWidth="1"/>
    <col min="2" max="2" width="6.375" style="1" customWidth="1"/>
    <col min="3" max="3" width="6.25" style="1" customWidth="1"/>
    <col min="4" max="4" width="7.75" style="1" customWidth="1"/>
    <col min="5" max="5" width="7.75" style="1"/>
    <col min="6" max="6" width="7.375" style="1" customWidth="1"/>
    <col min="7" max="7" width="12.75" style="1" customWidth="1"/>
    <col min="8" max="8" width="6" style="1" customWidth="1"/>
    <col min="9" max="9" width="19" style="2" bestFit="1" customWidth="1"/>
    <col min="10" max="10" width="13.25" style="2" bestFit="1" customWidth="1"/>
    <col min="11" max="11" width="13.375" style="2" customWidth="1"/>
    <col min="12" max="12" width="32.625" style="2" customWidth="1"/>
    <col min="13" max="13" width="15.875" style="2" customWidth="1"/>
    <col min="14" max="14" width="18.625" style="2" customWidth="1"/>
    <col min="15" max="15" width="16.375" style="2" customWidth="1"/>
    <col min="16" max="16" width="19.875" style="2" bestFit="1" customWidth="1"/>
    <col min="17" max="17" width="8.75" style="3" customWidth="1"/>
    <col min="18" max="18" width="9.375" style="2" customWidth="1"/>
    <col min="19" max="19" width="10.5" style="2" customWidth="1"/>
    <col min="20" max="20" width="11.25" style="2" customWidth="1"/>
    <col min="21" max="21" width="9.375" style="3" customWidth="1"/>
    <col min="22" max="22" width="7.75" style="2"/>
    <col min="23" max="23" width="16.75" style="3" customWidth="1"/>
    <col min="24" max="24" width="12.75" style="2" bestFit="1" customWidth="1"/>
    <col min="25" max="25" width="20.125" style="3" customWidth="1"/>
    <col min="26" max="27" width="49.5" style="3" bestFit="1" customWidth="1"/>
    <col min="28" max="28" width="8.25" style="2" customWidth="1"/>
    <col min="29" max="29" width="7.625" style="2" customWidth="1"/>
    <col min="30" max="30" width="18.125" style="3" bestFit="1" customWidth="1"/>
    <col min="31" max="31" width="25.75" style="4" bestFit="1" customWidth="1"/>
    <col min="32" max="32" width="17.875" style="4" hidden="1" customWidth="1"/>
    <col min="33" max="33" width="21.5" style="5" hidden="1" customWidth="1"/>
    <col min="34" max="34" width="16.25" style="5" hidden="1" customWidth="1"/>
    <col min="35" max="35" width="20.25" style="2" hidden="1" customWidth="1"/>
    <col min="36" max="36" width="11.375" style="2" bestFit="1" customWidth="1"/>
    <col min="37" max="37" width="15.25" style="2" customWidth="1"/>
    <col min="38" max="38" width="20.625" style="2" customWidth="1"/>
    <col min="39" max="39" width="17.25" style="4" hidden="1" customWidth="1"/>
    <col min="40" max="40" width="25.5" style="4" hidden="1" customWidth="1"/>
    <col min="41" max="41" width="19.375" style="4" hidden="1" customWidth="1"/>
    <col min="42" max="42" width="11.125" style="4" hidden="1" customWidth="1"/>
    <col min="43" max="43" width="10.5" style="2" hidden="1" customWidth="1"/>
    <col min="44" max="44" width="20" style="2" customWidth="1"/>
    <col min="45" max="45" width="14.375" style="2" customWidth="1"/>
    <col min="46" max="46" width="16.625" style="2" customWidth="1"/>
    <col min="47" max="47" width="23.25" style="7" customWidth="1"/>
    <col min="48" max="48" width="11.5" style="2" customWidth="1"/>
    <col min="49" max="49" width="12" style="2" customWidth="1"/>
    <col min="50" max="50" width="15.25" style="2" customWidth="1"/>
    <col min="51" max="51" width="14.75" style="2" customWidth="1"/>
    <col min="52" max="52" width="15.75" style="2" customWidth="1"/>
    <col min="53" max="53" width="12.625" style="2" hidden="1" customWidth="1"/>
    <col min="54" max="54" width="11" style="2" hidden="1" customWidth="1"/>
    <col min="55" max="55" width="13.75" style="2" hidden="1" customWidth="1"/>
    <col min="56" max="56" width="13.75" style="8" hidden="1" customWidth="1"/>
    <col min="57" max="58" width="0" style="2" hidden="1" customWidth="1"/>
    <col min="59" max="59" width="7.75" style="2" hidden="1" customWidth="1"/>
    <col min="60" max="62" width="0" style="2" hidden="1" customWidth="1"/>
    <col min="63" max="16384" width="7.75" style="111"/>
  </cols>
  <sheetData>
    <row r="1" spans="1:62" s="1" customFormat="1" ht="18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4"/>
      <c r="J1" s="10"/>
      <c r="K1" s="10"/>
      <c r="L1" s="104" t="s">
        <v>221</v>
      </c>
      <c r="M1" s="15"/>
      <c r="N1" s="9"/>
      <c r="O1" s="10"/>
      <c r="P1" s="16"/>
      <c r="Q1" s="17"/>
      <c r="R1" s="17"/>
      <c r="S1" s="21"/>
      <c r="U1" s="22"/>
      <c r="W1" s="22"/>
      <c r="Y1" s="22"/>
      <c r="Z1" s="22"/>
      <c r="AA1" s="22"/>
      <c r="AD1" s="22"/>
      <c r="AE1" s="27"/>
      <c r="AF1" s="27"/>
      <c r="AG1" s="35"/>
      <c r="AH1" s="35"/>
      <c r="AK1" s="36"/>
      <c r="AM1" s="27"/>
      <c r="AN1" s="27"/>
      <c r="AO1" s="27"/>
      <c r="AP1" s="27"/>
      <c r="AU1" s="42"/>
      <c r="BD1" s="44"/>
    </row>
    <row r="2" spans="1:62" s="1" customFormat="1" ht="18" customHeight="1" x14ac:dyDescent="0.4">
      <c r="A2" s="9"/>
      <c r="B2" s="10"/>
      <c r="C2" s="10"/>
      <c r="D2" s="10"/>
      <c r="E2" s="10"/>
      <c r="F2" s="10"/>
      <c r="G2" s="10"/>
      <c r="H2" s="10"/>
      <c r="I2" s="14"/>
      <c r="J2" s="10"/>
      <c r="K2" s="10"/>
      <c r="L2" s="10"/>
      <c r="M2" s="15"/>
      <c r="N2" s="9"/>
      <c r="O2" s="10"/>
      <c r="P2" s="16"/>
      <c r="Q2" s="17"/>
      <c r="R2" s="17"/>
      <c r="S2" s="21"/>
      <c r="U2" s="22"/>
      <c r="W2" s="22"/>
      <c r="Y2" s="22"/>
      <c r="Z2" s="22"/>
      <c r="AA2" s="22"/>
      <c r="AD2" s="22"/>
      <c r="AE2" s="27"/>
      <c r="AF2" s="27"/>
      <c r="AG2" s="35"/>
      <c r="AH2" s="35"/>
      <c r="AK2" s="36"/>
      <c r="AM2" s="27"/>
      <c r="AN2" s="27"/>
      <c r="AO2" s="27"/>
      <c r="AP2" s="27"/>
      <c r="AU2" s="42"/>
      <c r="BD2" s="44"/>
    </row>
    <row r="3" spans="1:62" s="1" customFormat="1" ht="18" customHeight="1" x14ac:dyDescent="0.4">
      <c r="A3" s="9" t="s">
        <v>1</v>
      </c>
      <c r="B3" s="11"/>
      <c r="C3" s="11" t="s">
        <v>2</v>
      </c>
      <c r="D3" s="9" t="s">
        <v>3</v>
      </c>
      <c r="E3" s="10"/>
      <c r="F3" s="10"/>
      <c r="G3" s="10"/>
      <c r="H3" s="10"/>
      <c r="I3" s="14"/>
      <c r="J3" s="10"/>
      <c r="K3" s="10"/>
      <c r="L3" s="9" t="s">
        <v>4</v>
      </c>
      <c r="M3" s="11" t="s">
        <v>2</v>
      </c>
      <c r="N3" s="51" t="s">
        <v>79</v>
      </c>
      <c r="O3" s="10"/>
      <c r="P3" s="16"/>
      <c r="Q3" s="17"/>
      <c r="R3" s="17"/>
      <c r="S3" s="21"/>
      <c r="U3" s="22"/>
      <c r="W3" s="22"/>
      <c r="Y3" s="22"/>
      <c r="Z3" s="22"/>
      <c r="AA3" s="22"/>
      <c r="AD3" s="22"/>
      <c r="AE3" s="27"/>
      <c r="AF3" s="27"/>
      <c r="AG3" s="35"/>
      <c r="AH3" s="35"/>
      <c r="AK3" s="36"/>
      <c r="AM3" s="27"/>
      <c r="AN3" s="27"/>
      <c r="AO3" s="27"/>
      <c r="AP3" s="27"/>
      <c r="AU3" s="42"/>
      <c r="BD3" s="44"/>
    </row>
    <row r="4" spans="1:62" s="1" customFormat="1" ht="18" customHeight="1" x14ac:dyDescent="0.4">
      <c r="A4" s="9" t="s">
        <v>5</v>
      </c>
      <c r="B4" s="11"/>
      <c r="C4" s="11" t="s">
        <v>2</v>
      </c>
      <c r="D4" s="50" t="s">
        <v>87</v>
      </c>
      <c r="E4" s="10"/>
      <c r="F4" s="10"/>
      <c r="G4" s="10"/>
      <c r="H4" s="10"/>
      <c r="I4" s="14"/>
      <c r="J4" s="10"/>
      <c r="K4" s="10"/>
      <c r="L4" s="9" t="s">
        <v>6</v>
      </c>
      <c r="M4" s="11" t="s">
        <v>2</v>
      </c>
      <c r="N4" s="103" t="s">
        <v>219</v>
      </c>
      <c r="O4" s="10"/>
      <c r="P4" s="16"/>
      <c r="Q4" s="17"/>
      <c r="R4" s="17"/>
      <c r="S4" s="21"/>
      <c r="U4" s="22"/>
      <c r="W4" s="22"/>
      <c r="Y4" s="22"/>
      <c r="Z4" s="22"/>
      <c r="AA4" s="22"/>
      <c r="AD4" s="22"/>
      <c r="AE4" s="27"/>
      <c r="AF4" s="27"/>
      <c r="AG4" s="35"/>
      <c r="AH4" s="35"/>
      <c r="AK4" s="36"/>
      <c r="AM4" s="27"/>
      <c r="AN4" s="27"/>
      <c r="AO4" s="27"/>
      <c r="AP4" s="27"/>
      <c r="AU4" s="42"/>
      <c r="BD4" s="44"/>
    </row>
    <row r="5" spans="1:62" s="1" customFormat="1" ht="18" customHeight="1" x14ac:dyDescent="0.4">
      <c r="A5" s="9" t="s">
        <v>7</v>
      </c>
      <c r="B5" s="11"/>
      <c r="C5" s="11" t="s">
        <v>2</v>
      </c>
      <c r="D5" s="50" t="s">
        <v>215</v>
      </c>
      <c r="E5" s="10"/>
      <c r="F5" s="10"/>
      <c r="G5" s="10"/>
      <c r="H5" s="10"/>
      <c r="I5" s="14"/>
      <c r="J5" s="10"/>
      <c r="K5" s="10"/>
      <c r="L5" s="9" t="s">
        <v>8</v>
      </c>
      <c r="M5" s="11" t="s">
        <v>2</v>
      </c>
      <c r="N5" s="10" t="s">
        <v>9</v>
      </c>
      <c r="O5" s="10"/>
      <c r="Q5" s="17"/>
      <c r="R5" s="17"/>
      <c r="S5" s="21"/>
      <c r="U5" s="22"/>
      <c r="W5" s="22"/>
      <c r="Y5" s="22"/>
      <c r="Z5" s="22"/>
      <c r="AA5" s="22"/>
      <c r="AD5" s="17"/>
      <c r="AE5" s="27"/>
      <c r="AF5" s="27"/>
      <c r="AG5" s="35"/>
      <c r="AH5" s="35"/>
      <c r="AK5" s="36"/>
      <c r="AM5" s="27"/>
      <c r="AN5" s="27"/>
      <c r="AO5" s="27"/>
      <c r="AP5" s="27"/>
      <c r="AU5" s="42"/>
      <c r="BD5" s="44"/>
    </row>
    <row r="6" spans="1:62" s="1" customFormat="1" ht="18" customHeight="1" x14ac:dyDescent="0.4">
      <c r="A6" s="9" t="s">
        <v>10</v>
      </c>
      <c r="B6" s="11"/>
      <c r="C6" s="11" t="s">
        <v>2</v>
      </c>
      <c r="D6" s="50" t="s">
        <v>216</v>
      </c>
      <c r="E6" s="10"/>
      <c r="F6" s="10"/>
      <c r="G6" s="10"/>
      <c r="H6" s="10"/>
      <c r="I6" s="14"/>
      <c r="J6" s="10"/>
      <c r="K6" s="10"/>
      <c r="L6" s="9" t="s">
        <v>11</v>
      </c>
      <c r="M6" s="11" t="s">
        <v>2</v>
      </c>
      <c r="N6" s="102" t="s">
        <v>220</v>
      </c>
      <c r="O6" s="17"/>
      <c r="Q6" s="17"/>
      <c r="R6" s="17"/>
      <c r="S6" s="21"/>
      <c r="U6" s="22"/>
      <c r="W6" s="22"/>
      <c r="Y6" s="22"/>
      <c r="Z6" s="22"/>
      <c r="AA6" s="22"/>
      <c r="AD6" s="17"/>
      <c r="AE6" s="27"/>
      <c r="AF6" s="27"/>
      <c r="AG6" s="35"/>
      <c r="AH6" s="35"/>
      <c r="AK6" s="37"/>
      <c r="AM6" s="27"/>
      <c r="AN6" s="27"/>
      <c r="AO6" s="27"/>
      <c r="AP6" s="27"/>
      <c r="AU6" s="42"/>
      <c r="BD6" s="44"/>
    </row>
    <row r="7" spans="1:62" s="108" customFormat="1" ht="18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2" s="109" customFormat="1" ht="38.25" customHeight="1" x14ac:dyDescent="0.25">
      <c r="A8" s="12" t="s">
        <v>12</v>
      </c>
      <c r="B8" s="12" t="s">
        <v>13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18</v>
      </c>
      <c r="H8" s="13" t="s">
        <v>19</v>
      </c>
      <c r="I8" s="18" t="s">
        <v>20</v>
      </c>
      <c r="J8" s="13" t="s">
        <v>21</v>
      </c>
      <c r="K8" s="13" t="s">
        <v>22</v>
      </c>
      <c r="L8" s="13" t="s">
        <v>23</v>
      </c>
      <c r="M8" s="19" t="s">
        <v>24</v>
      </c>
      <c r="N8" s="19" t="s">
        <v>25</v>
      </c>
      <c r="O8" s="20" t="s">
        <v>26</v>
      </c>
      <c r="P8" s="20" t="s">
        <v>27</v>
      </c>
      <c r="Q8" s="23" t="s">
        <v>28</v>
      </c>
      <c r="R8" s="24" t="s">
        <v>29</v>
      </c>
      <c r="S8" s="23" t="s">
        <v>30</v>
      </c>
      <c r="T8" s="24" t="s">
        <v>31</v>
      </c>
      <c r="U8" s="23" t="s">
        <v>32</v>
      </c>
      <c r="V8" s="24" t="s">
        <v>33</v>
      </c>
      <c r="W8" s="24" t="s">
        <v>34</v>
      </c>
      <c r="X8" s="23" t="s">
        <v>35</v>
      </c>
      <c r="Y8" s="24" t="s">
        <v>36</v>
      </c>
      <c r="Z8" s="24" t="s">
        <v>37</v>
      </c>
      <c r="AA8" s="24" t="s">
        <v>38</v>
      </c>
      <c r="AB8" s="28" t="s">
        <v>39</v>
      </c>
      <c r="AC8" s="28" t="s">
        <v>40</v>
      </c>
      <c r="AD8" s="23" t="s">
        <v>41</v>
      </c>
      <c r="AE8" s="23" t="s">
        <v>42</v>
      </c>
      <c r="AF8" s="29" t="s">
        <v>43</v>
      </c>
      <c r="AG8" s="29" t="s">
        <v>44</v>
      </c>
      <c r="AH8" s="29" t="s">
        <v>45</v>
      </c>
      <c r="AI8" s="29" t="s">
        <v>46</v>
      </c>
      <c r="AJ8" s="23" t="s">
        <v>47</v>
      </c>
      <c r="AK8" s="38" t="s">
        <v>48</v>
      </c>
      <c r="AL8" s="23" t="s">
        <v>49</v>
      </c>
      <c r="AM8" s="29" t="s">
        <v>50</v>
      </c>
      <c r="AN8" s="29" t="s">
        <v>51</v>
      </c>
      <c r="AO8" s="29" t="s">
        <v>52</v>
      </c>
      <c r="AP8" s="29" t="s">
        <v>53</v>
      </c>
      <c r="AQ8" s="29" t="s">
        <v>54</v>
      </c>
      <c r="AR8" s="23" t="s">
        <v>55</v>
      </c>
      <c r="AS8" s="23" t="s">
        <v>56</v>
      </c>
      <c r="AT8" s="43" t="s">
        <v>57</v>
      </c>
      <c r="AU8" s="24" t="s">
        <v>58</v>
      </c>
      <c r="AV8" s="24" t="s">
        <v>59</v>
      </c>
      <c r="AW8" s="45" t="s">
        <v>60</v>
      </c>
      <c r="AX8" s="46" t="s">
        <v>61</v>
      </c>
      <c r="AY8" s="46" t="s">
        <v>62</v>
      </c>
      <c r="AZ8" s="47" t="s">
        <v>63</v>
      </c>
      <c r="BA8" s="29" t="s">
        <v>64</v>
      </c>
      <c r="BB8" s="29" t="s">
        <v>65</v>
      </c>
      <c r="BC8" s="29" t="s">
        <v>66</v>
      </c>
      <c r="BD8" s="48" t="s">
        <v>67</v>
      </c>
      <c r="BE8" s="29" t="s">
        <v>68</v>
      </c>
      <c r="BF8" s="29" t="s">
        <v>69</v>
      </c>
      <c r="BG8" s="29" t="s">
        <v>70</v>
      </c>
      <c r="BH8" s="29" t="s">
        <v>71</v>
      </c>
      <c r="BI8" s="29" t="s">
        <v>72</v>
      </c>
      <c r="BJ8" s="49" t="s">
        <v>73</v>
      </c>
    </row>
    <row r="9" spans="1:62" s="110" customFormat="1" ht="15.75" customHeight="1" x14ac:dyDescent="0.25">
      <c r="A9" s="54" t="s">
        <v>74</v>
      </c>
      <c r="B9" s="54">
        <v>1</v>
      </c>
      <c r="C9" s="54" t="s">
        <v>81</v>
      </c>
      <c r="D9" s="54" t="s">
        <v>80</v>
      </c>
      <c r="E9" s="54">
        <v>1</v>
      </c>
      <c r="F9" s="63">
        <v>1</v>
      </c>
      <c r="G9" s="106" t="s">
        <v>82</v>
      </c>
      <c r="H9" s="64">
        <v>1</v>
      </c>
      <c r="I9" s="65" t="s">
        <v>200</v>
      </c>
      <c r="J9" s="30" t="s">
        <v>201</v>
      </c>
      <c r="K9" s="30" t="s">
        <v>202</v>
      </c>
      <c r="L9" s="30" t="str">
        <f>AD9&amp;AE9</f>
        <v>JALAN BANJAR BANTAS MANUKAYA</v>
      </c>
      <c r="M9" s="65" t="s">
        <v>3</v>
      </c>
      <c r="N9" s="66" t="s">
        <v>93</v>
      </c>
      <c r="O9" s="67" t="s">
        <v>204</v>
      </c>
      <c r="P9" s="67" t="s">
        <v>205</v>
      </c>
      <c r="Q9" s="55">
        <v>80552</v>
      </c>
      <c r="R9" s="93" t="s">
        <v>87</v>
      </c>
      <c r="S9" s="55" t="s">
        <v>87</v>
      </c>
      <c r="T9" s="55" t="s">
        <v>87</v>
      </c>
      <c r="U9" s="55" t="s">
        <v>75</v>
      </c>
      <c r="V9" s="25" t="s">
        <v>87</v>
      </c>
      <c r="W9" s="55" t="s">
        <v>76</v>
      </c>
      <c r="X9" s="55" t="s">
        <v>87</v>
      </c>
      <c r="Y9" s="68"/>
      <c r="Z9" s="69" t="s">
        <v>215</v>
      </c>
      <c r="AA9" s="69" t="str">
        <f>Z9</f>
        <v>BANJAR BANTAS MANUKAYA BALI</v>
      </c>
      <c r="AB9" s="55" t="s">
        <v>87</v>
      </c>
      <c r="AC9" s="55" t="s">
        <v>87</v>
      </c>
      <c r="AD9" s="55" t="s">
        <v>86</v>
      </c>
      <c r="AE9" s="30" t="s">
        <v>203</v>
      </c>
      <c r="AF9" s="55"/>
      <c r="AG9" s="55"/>
      <c r="AH9" s="70"/>
      <c r="AI9" s="55"/>
      <c r="AJ9" s="71" t="s">
        <v>87</v>
      </c>
      <c r="AK9" s="99" t="s">
        <v>102</v>
      </c>
      <c r="AL9" s="72" t="s">
        <v>77</v>
      </c>
      <c r="AM9" s="55"/>
      <c r="AN9" s="55"/>
      <c r="AO9" s="55"/>
      <c r="AP9" s="73"/>
      <c r="AQ9" s="73"/>
      <c r="AR9" s="55" t="s">
        <v>78</v>
      </c>
      <c r="AS9" s="55" t="s">
        <v>217</v>
      </c>
      <c r="AT9" s="40"/>
      <c r="AU9" s="55" t="str">
        <f>D6</f>
        <v>DPS.100.2701.BRBNTS.043</v>
      </c>
      <c r="AV9" s="74" t="s">
        <v>82</v>
      </c>
      <c r="AW9" s="56"/>
      <c r="AX9" s="101">
        <v>-8.4003759999999996</v>
      </c>
      <c r="AY9" s="101">
        <v>115.316676</v>
      </c>
      <c r="AZ9" s="75"/>
      <c r="BA9" s="55"/>
      <c r="BB9" s="55"/>
      <c r="BC9" s="55"/>
      <c r="BD9" s="55"/>
      <c r="BE9" s="55"/>
      <c r="BF9" s="55"/>
      <c r="BG9" s="55"/>
      <c r="BH9" s="55"/>
      <c r="BI9" s="55"/>
      <c r="BJ9" s="73"/>
    </row>
    <row r="10" spans="1:62" s="110" customFormat="1" ht="15.75" customHeight="1" x14ac:dyDescent="0.25">
      <c r="A10" s="57"/>
      <c r="B10" s="57">
        <v>2</v>
      </c>
      <c r="C10" s="58" t="s">
        <v>81</v>
      </c>
      <c r="D10" s="58" t="s">
        <v>80</v>
      </c>
      <c r="E10" s="59">
        <v>1</v>
      </c>
      <c r="F10" s="76">
        <v>2</v>
      </c>
      <c r="G10" s="106"/>
      <c r="H10" s="77">
        <v>2</v>
      </c>
      <c r="I10" s="31" t="str">
        <f>I9</f>
        <v>MR.BRBNTS.P003</v>
      </c>
      <c r="J10" s="31" t="str">
        <f t="shared" ref="J10:K10" si="0">J9</f>
        <v xml:space="preserve"> -8.400787°</v>
      </c>
      <c r="K10" s="31" t="str">
        <f t="shared" si="0"/>
        <v>115.316815°</v>
      </c>
      <c r="L10" s="32" t="str">
        <f>L9</f>
        <v>JALAN BANJAR BANTAS MANUKAYA</v>
      </c>
      <c r="M10" s="31" t="str">
        <f>M9</f>
        <v>BALI</v>
      </c>
      <c r="N10" s="31" t="str">
        <f t="shared" ref="N10:W10" si="1">N9</f>
        <v>DENPASAR</v>
      </c>
      <c r="O10" s="31" t="str">
        <f t="shared" si="1"/>
        <v>TAMPAKSIRING</v>
      </c>
      <c r="P10" s="31" t="str">
        <f t="shared" si="1"/>
        <v>MANUKAYA</v>
      </c>
      <c r="Q10" s="31">
        <f t="shared" si="1"/>
        <v>80552</v>
      </c>
      <c r="R10" s="31" t="str">
        <f t="shared" si="1"/>
        <v>-</v>
      </c>
      <c r="S10" s="31" t="str">
        <f t="shared" si="1"/>
        <v>-</v>
      </c>
      <c r="T10" s="31" t="str">
        <f t="shared" si="1"/>
        <v>-</v>
      </c>
      <c r="U10" s="31" t="str">
        <f t="shared" si="1"/>
        <v>FTTH</v>
      </c>
      <c r="V10" s="31" t="str">
        <f t="shared" si="1"/>
        <v>-</v>
      </c>
      <c r="W10" s="31" t="str">
        <f t="shared" si="1"/>
        <v>General Retail</v>
      </c>
      <c r="X10" s="31" t="str">
        <f t="shared" ref="X10:X64" si="2">X9</f>
        <v>-</v>
      </c>
      <c r="Y10" s="78"/>
      <c r="Z10" s="79" t="str">
        <f t="shared" ref="Z10:AE10" si="3">Z9</f>
        <v>BANJAR BANTAS MANUKAYA BALI</v>
      </c>
      <c r="AA10" s="79" t="str">
        <f t="shared" si="3"/>
        <v>BANJAR BANTAS MANUKAYA BALI</v>
      </c>
      <c r="AB10" s="26" t="str">
        <f t="shared" si="3"/>
        <v>-</v>
      </c>
      <c r="AC10" s="26" t="str">
        <f t="shared" si="3"/>
        <v>-</v>
      </c>
      <c r="AD10" s="39" t="str">
        <f t="shared" si="3"/>
        <v xml:space="preserve">JALAN </v>
      </c>
      <c r="AE10" s="32" t="str">
        <f t="shared" si="3"/>
        <v>BANJAR BANTAS MANUKAYA</v>
      </c>
      <c r="AF10" s="26"/>
      <c r="AG10" s="39"/>
      <c r="AH10" s="39"/>
      <c r="AI10" s="80"/>
      <c r="AJ10" s="81" t="str">
        <f>AJ9</f>
        <v>-</v>
      </c>
      <c r="AK10" s="98" t="s">
        <v>101</v>
      </c>
      <c r="AL10" s="82" t="s">
        <v>77</v>
      </c>
      <c r="AM10" s="26"/>
      <c r="AN10" s="26"/>
      <c r="AO10" s="26"/>
      <c r="AP10" s="26"/>
      <c r="AQ10" s="26"/>
      <c r="AR10" s="39" t="s">
        <v>78</v>
      </c>
      <c r="AS10" s="39" t="str">
        <f>AS9</f>
        <v>DPS.100.2701</v>
      </c>
      <c r="AT10" s="41"/>
      <c r="AU10" s="39" t="str">
        <f>AU9</f>
        <v>DPS.100.2701.BRBNTS.043</v>
      </c>
      <c r="AV10" s="83" t="s">
        <v>82</v>
      </c>
      <c r="AW10" s="60"/>
      <c r="AX10" s="100">
        <v>-8.4008529999999997</v>
      </c>
      <c r="AY10" s="100">
        <v>115.316744</v>
      </c>
      <c r="AZ10" s="52"/>
      <c r="BA10" s="39"/>
      <c r="BB10" s="39"/>
      <c r="BC10" s="39"/>
      <c r="BD10" s="39"/>
      <c r="BE10" s="39"/>
      <c r="BF10" s="39"/>
      <c r="BG10" s="39"/>
      <c r="BH10" s="39"/>
      <c r="BI10" s="39"/>
      <c r="BJ10" s="84"/>
    </row>
    <row r="11" spans="1:62" s="110" customFormat="1" ht="15.75" customHeight="1" x14ac:dyDescent="0.25">
      <c r="A11" s="85"/>
      <c r="B11" s="86"/>
      <c r="C11" s="86"/>
      <c r="D11" s="86"/>
      <c r="E11" s="86"/>
      <c r="F11" s="87"/>
      <c r="G11" s="86"/>
      <c r="H11" s="77">
        <v>3</v>
      </c>
      <c r="I11" s="31" t="str">
        <f t="shared" ref="I11:I21" si="4">I10</f>
        <v>MR.BRBNTS.P003</v>
      </c>
      <c r="J11" s="31" t="str">
        <f t="shared" ref="J11:J21" si="5">J10</f>
        <v xml:space="preserve"> -8.400787°</v>
      </c>
      <c r="K11" s="31" t="str">
        <f t="shared" ref="K11:L21" si="6">K10</f>
        <v>115.316815°</v>
      </c>
      <c r="L11" s="32" t="str">
        <f t="shared" si="6"/>
        <v>JALAN BANJAR BANTAS MANUKAYA</v>
      </c>
      <c r="M11" s="31" t="str">
        <f t="shared" ref="M11:M64" si="7">M10</f>
        <v>BALI</v>
      </c>
      <c r="N11" s="31" t="str">
        <f t="shared" ref="N11:N64" si="8">N10</f>
        <v>DENPASAR</v>
      </c>
      <c r="O11" s="31" t="str">
        <f t="shared" ref="O11:O64" si="9">O10</f>
        <v>TAMPAKSIRING</v>
      </c>
      <c r="P11" s="31" t="str">
        <f t="shared" ref="P11:P64" si="10">P10</f>
        <v>MANUKAYA</v>
      </c>
      <c r="Q11" s="31">
        <f t="shared" ref="Q11:Q64" si="11">Q10</f>
        <v>80552</v>
      </c>
      <c r="R11" s="31" t="str">
        <f t="shared" ref="R11:R64" si="12">R10</f>
        <v>-</v>
      </c>
      <c r="S11" s="31" t="str">
        <f t="shared" ref="S11:S64" si="13">S10</f>
        <v>-</v>
      </c>
      <c r="T11" s="31" t="str">
        <f t="shared" ref="T11:T64" si="14">T10</f>
        <v>-</v>
      </c>
      <c r="U11" s="31" t="str">
        <f t="shared" ref="U11:U64" si="15">U10</f>
        <v>FTTH</v>
      </c>
      <c r="V11" s="31" t="str">
        <f t="shared" ref="V11:V64" si="16">V10</f>
        <v>-</v>
      </c>
      <c r="W11" s="31" t="str">
        <f t="shared" ref="W11:W64" si="17">W10</f>
        <v>General Retail</v>
      </c>
      <c r="X11" s="31" t="str">
        <f t="shared" si="2"/>
        <v>-</v>
      </c>
      <c r="Y11" s="78"/>
      <c r="Z11" s="79" t="str">
        <f t="shared" ref="Z11:Z64" si="18">Z10</f>
        <v>BANJAR BANTAS MANUKAYA BALI</v>
      </c>
      <c r="AA11" s="79" t="str">
        <f t="shared" ref="AA11:AC64" si="19">AA10</f>
        <v>BANJAR BANTAS MANUKAYA BALI</v>
      </c>
      <c r="AB11" s="26" t="str">
        <f t="shared" si="19"/>
        <v>-</v>
      </c>
      <c r="AC11" s="26" t="str">
        <f t="shared" si="19"/>
        <v>-</v>
      </c>
      <c r="AD11" s="39" t="str">
        <f t="shared" ref="AD11:AE64" si="20">AD10</f>
        <v xml:space="preserve">JALAN </v>
      </c>
      <c r="AE11" s="32" t="str">
        <f t="shared" si="20"/>
        <v>BANJAR BANTAS MANUKAYA</v>
      </c>
      <c r="AF11" s="26"/>
      <c r="AG11" s="39"/>
      <c r="AH11" s="39"/>
      <c r="AI11" s="80"/>
      <c r="AJ11" s="81" t="str">
        <f t="shared" ref="AJ11:AJ64" si="21">AJ10</f>
        <v>-</v>
      </c>
      <c r="AK11" s="98" t="s">
        <v>100</v>
      </c>
      <c r="AL11" s="82" t="s">
        <v>77</v>
      </c>
      <c r="AM11" s="26"/>
      <c r="AN11" s="26"/>
      <c r="AO11" s="26"/>
      <c r="AP11" s="26"/>
      <c r="AQ11" s="26"/>
      <c r="AR11" s="39" t="s">
        <v>78</v>
      </c>
      <c r="AS11" s="39" t="str">
        <f t="shared" ref="AS11:AS64" si="22">AS10</f>
        <v>DPS.100.2701</v>
      </c>
      <c r="AT11" s="41"/>
      <c r="AU11" s="39" t="str">
        <f t="shared" ref="AU11:AU64" si="23">AU10</f>
        <v>DPS.100.2701.BRBNTS.043</v>
      </c>
      <c r="AV11" s="83" t="s">
        <v>82</v>
      </c>
      <c r="AW11" s="60"/>
      <c r="AX11" s="100">
        <v>-8.400919</v>
      </c>
      <c r="AY11" s="100">
        <v>115.316716</v>
      </c>
      <c r="AZ11" s="52"/>
      <c r="BA11" s="39"/>
      <c r="BB11" s="39"/>
      <c r="BC11" s="39"/>
      <c r="BD11" s="39"/>
      <c r="BE11" s="39"/>
      <c r="BF11" s="39"/>
      <c r="BG11" s="39"/>
      <c r="BH11" s="39"/>
      <c r="BI11" s="39"/>
      <c r="BJ11" s="84"/>
    </row>
    <row r="12" spans="1:62" s="110" customFormat="1" ht="15.75" customHeight="1" x14ac:dyDescent="0.25">
      <c r="A12" s="88"/>
      <c r="B12" s="89"/>
      <c r="C12" s="89"/>
      <c r="D12" s="89"/>
      <c r="E12" s="89"/>
      <c r="F12" s="89"/>
      <c r="G12" s="89"/>
      <c r="H12" s="77">
        <v>4</v>
      </c>
      <c r="I12" s="31" t="str">
        <f t="shared" si="4"/>
        <v>MR.BRBNTS.P003</v>
      </c>
      <c r="J12" s="31" t="str">
        <f t="shared" si="5"/>
        <v xml:space="preserve"> -8.400787°</v>
      </c>
      <c r="K12" s="31" t="str">
        <f t="shared" si="6"/>
        <v>115.316815°</v>
      </c>
      <c r="L12" s="32" t="str">
        <f t="shared" si="6"/>
        <v>JALAN BANJAR BANTAS MANUKAYA</v>
      </c>
      <c r="M12" s="31" t="str">
        <f t="shared" si="7"/>
        <v>BALI</v>
      </c>
      <c r="N12" s="31" t="str">
        <f t="shared" si="8"/>
        <v>DENPASAR</v>
      </c>
      <c r="O12" s="31" t="str">
        <f t="shared" si="9"/>
        <v>TAMPAKSIRING</v>
      </c>
      <c r="P12" s="31" t="str">
        <f t="shared" si="10"/>
        <v>MANUKAYA</v>
      </c>
      <c r="Q12" s="31">
        <f t="shared" si="11"/>
        <v>80552</v>
      </c>
      <c r="R12" s="31" t="str">
        <f t="shared" si="12"/>
        <v>-</v>
      </c>
      <c r="S12" s="31" t="str">
        <f t="shared" si="13"/>
        <v>-</v>
      </c>
      <c r="T12" s="31" t="str">
        <f t="shared" si="14"/>
        <v>-</v>
      </c>
      <c r="U12" s="31" t="str">
        <f t="shared" si="15"/>
        <v>FTTH</v>
      </c>
      <c r="V12" s="31" t="str">
        <f t="shared" si="16"/>
        <v>-</v>
      </c>
      <c r="W12" s="31" t="str">
        <f t="shared" si="17"/>
        <v>General Retail</v>
      </c>
      <c r="X12" s="31" t="str">
        <f t="shared" si="2"/>
        <v>-</v>
      </c>
      <c r="Y12" s="78"/>
      <c r="Z12" s="79" t="str">
        <f t="shared" si="18"/>
        <v>BANJAR BANTAS MANUKAYA BALI</v>
      </c>
      <c r="AA12" s="79" t="str">
        <f t="shared" si="19"/>
        <v>BANJAR BANTAS MANUKAYA BALI</v>
      </c>
      <c r="AB12" s="26" t="str">
        <f t="shared" si="19"/>
        <v>-</v>
      </c>
      <c r="AC12" s="26" t="str">
        <f t="shared" si="19"/>
        <v>-</v>
      </c>
      <c r="AD12" s="39" t="str">
        <f t="shared" si="20"/>
        <v xml:space="preserve">JALAN </v>
      </c>
      <c r="AE12" s="32" t="str">
        <f t="shared" si="20"/>
        <v>BANJAR BANTAS MANUKAYA</v>
      </c>
      <c r="AF12" s="26"/>
      <c r="AG12" s="39"/>
      <c r="AH12" s="39"/>
      <c r="AI12" s="80"/>
      <c r="AJ12" s="81" t="str">
        <f t="shared" si="21"/>
        <v>-</v>
      </c>
      <c r="AK12" s="98" t="s">
        <v>99</v>
      </c>
      <c r="AL12" s="82" t="s">
        <v>77</v>
      </c>
      <c r="AM12" s="26"/>
      <c r="AN12" s="26"/>
      <c r="AO12" s="26"/>
      <c r="AP12" s="26"/>
      <c r="AQ12" s="26"/>
      <c r="AR12" s="39" t="s">
        <v>78</v>
      </c>
      <c r="AS12" s="39" t="str">
        <f t="shared" si="22"/>
        <v>DPS.100.2701</v>
      </c>
      <c r="AT12" s="41"/>
      <c r="AU12" s="39" t="str">
        <f t="shared" si="23"/>
        <v>DPS.100.2701.BRBNTS.043</v>
      </c>
      <c r="AV12" s="83" t="s">
        <v>82</v>
      </c>
      <c r="AW12" s="60"/>
      <c r="AX12" s="100">
        <v>-8.4011060000000004</v>
      </c>
      <c r="AY12" s="100">
        <v>115.31666199999999</v>
      </c>
      <c r="AZ12" s="52"/>
      <c r="BA12" s="39"/>
      <c r="BB12" s="39"/>
      <c r="BC12" s="39"/>
      <c r="BD12" s="39"/>
      <c r="BE12" s="39"/>
      <c r="BF12" s="39"/>
      <c r="BG12" s="39"/>
      <c r="BH12" s="39"/>
      <c r="BI12" s="39"/>
      <c r="BJ12" s="84"/>
    </row>
    <row r="13" spans="1:62" s="110" customFormat="1" ht="15.75" customHeight="1" x14ac:dyDescent="0.25">
      <c r="A13" s="88"/>
      <c r="B13" s="89"/>
      <c r="C13" s="89"/>
      <c r="D13" s="89"/>
      <c r="E13" s="89"/>
      <c r="F13" s="89"/>
      <c r="G13" s="89"/>
      <c r="H13" s="77">
        <v>5</v>
      </c>
      <c r="I13" s="31" t="str">
        <f t="shared" si="4"/>
        <v>MR.BRBNTS.P003</v>
      </c>
      <c r="J13" s="31" t="str">
        <f t="shared" si="5"/>
        <v xml:space="preserve"> -8.400787°</v>
      </c>
      <c r="K13" s="31" t="str">
        <f t="shared" si="6"/>
        <v>115.316815°</v>
      </c>
      <c r="L13" s="32" t="str">
        <f t="shared" si="6"/>
        <v>JALAN BANJAR BANTAS MANUKAYA</v>
      </c>
      <c r="M13" s="31" t="str">
        <f t="shared" si="7"/>
        <v>BALI</v>
      </c>
      <c r="N13" s="31" t="str">
        <f t="shared" si="8"/>
        <v>DENPASAR</v>
      </c>
      <c r="O13" s="31" t="str">
        <f t="shared" si="9"/>
        <v>TAMPAKSIRING</v>
      </c>
      <c r="P13" s="31" t="str">
        <f t="shared" si="10"/>
        <v>MANUKAYA</v>
      </c>
      <c r="Q13" s="31">
        <f t="shared" si="11"/>
        <v>80552</v>
      </c>
      <c r="R13" s="31" t="str">
        <f t="shared" si="12"/>
        <v>-</v>
      </c>
      <c r="S13" s="31" t="str">
        <f t="shared" si="13"/>
        <v>-</v>
      </c>
      <c r="T13" s="31" t="str">
        <f t="shared" si="14"/>
        <v>-</v>
      </c>
      <c r="U13" s="31" t="str">
        <f t="shared" si="15"/>
        <v>FTTH</v>
      </c>
      <c r="V13" s="31" t="str">
        <f t="shared" si="16"/>
        <v>-</v>
      </c>
      <c r="W13" s="31" t="str">
        <f t="shared" si="17"/>
        <v>General Retail</v>
      </c>
      <c r="X13" s="31" t="str">
        <f t="shared" si="2"/>
        <v>-</v>
      </c>
      <c r="Y13" s="78"/>
      <c r="Z13" s="79" t="str">
        <f t="shared" si="18"/>
        <v>BANJAR BANTAS MANUKAYA BALI</v>
      </c>
      <c r="AA13" s="79" t="str">
        <f t="shared" si="19"/>
        <v>BANJAR BANTAS MANUKAYA BALI</v>
      </c>
      <c r="AB13" s="26" t="str">
        <f t="shared" si="19"/>
        <v>-</v>
      </c>
      <c r="AC13" s="26" t="str">
        <f t="shared" si="19"/>
        <v>-</v>
      </c>
      <c r="AD13" s="39" t="str">
        <f t="shared" si="20"/>
        <v xml:space="preserve">JALAN </v>
      </c>
      <c r="AE13" s="32" t="str">
        <f t="shared" si="20"/>
        <v>BANJAR BANTAS MANUKAYA</v>
      </c>
      <c r="AF13" s="26"/>
      <c r="AG13" s="39"/>
      <c r="AH13" s="39"/>
      <c r="AI13" s="80"/>
      <c r="AJ13" s="81" t="str">
        <f t="shared" si="21"/>
        <v>-</v>
      </c>
      <c r="AK13" s="98" t="s">
        <v>98</v>
      </c>
      <c r="AL13" s="82" t="s">
        <v>77</v>
      </c>
      <c r="AM13" s="26"/>
      <c r="AN13" s="26"/>
      <c r="AO13" s="26"/>
      <c r="AP13" s="26"/>
      <c r="AQ13" s="26"/>
      <c r="AR13" s="39" t="s">
        <v>78</v>
      </c>
      <c r="AS13" s="39" t="str">
        <f t="shared" si="22"/>
        <v>DPS.100.2701</v>
      </c>
      <c r="AT13" s="41"/>
      <c r="AU13" s="39" t="str">
        <f t="shared" si="23"/>
        <v>DPS.100.2701.BRBNTS.043</v>
      </c>
      <c r="AV13" s="83" t="s">
        <v>82</v>
      </c>
      <c r="AW13" s="60"/>
      <c r="AX13" s="100">
        <v>-8.4012899999999995</v>
      </c>
      <c r="AY13" s="100">
        <v>115.316624</v>
      </c>
      <c r="AZ13" s="52"/>
      <c r="BA13" s="39"/>
      <c r="BB13" s="39"/>
      <c r="BC13" s="39"/>
      <c r="BD13" s="39"/>
      <c r="BE13" s="39"/>
      <c r="BF13" s="39"/>
      <c r="BG13" s="39"/>
      <c r="BH13" s="39"/>
      <c r="BI13" s="39"/>
      <c r="BJ13" s="84"/>
    </row>
    <row r="14" spans="1:62" s="110" customFormat="1" ht="15.75" customHeight="1" x14ac:dyDescent="0.25">
      <c r="A14" s="61"/>
      <c r="B14" s="62"/>
      <c r="C14" s="62"/>
      <c r="D14" s="62"/>
      <c r="E14" s="62"/>
      <c r="F14" s="89"/>
      <c r="G14" s="89"/>
      <c r="H14" s="77">
        <v>6</v>
      </c>
      <c r="I14" s="31" t="str">
        <f t="shared" si="4"/>
        <v>MR.BRBNTS.P003</v>
      </c>
      <c r="J14" s="31" t="str">
        <f t="shared" si="5"/>
        <v xml:space="preserve"> -8.400787°</v>
      </c>
      <c r="K14" s="31" t="str">
        <f t="shared" si="6"/>
        <v>115.316815°</v>
      </c>
      <c r="L14" s="32" t="str">
        <f t="shared" si="6"/>
        <v>JALAN BANJAR BANTAS MANUKAYA</v>
      </c>
      <c r="M14" s="31" t="str">
        <f t="shared" si="7"/>
        <v>BALI</v>
      </c>
      <c r="N14" s="31" t="str">
        <f t="shared" si="8"/>
        <v>DENPASAR</v>
      </c>
      <c r="O14" s="31" t="str">
        <f t="shared" si="9"/>
        <v>TAMPAKSIRING</v>
      </c>
      <c r="P14" s="31" t="str">
        <f t="shared" si="10"/>
        <v>MANUKAYA</v>
      </c>
      <c r="Q14" s="31">
        <f t="shared" si="11"/>
        <v>80552</v>
      </c>
      <c r="R14" s="31" t="str">
        <f t="shared" si="12"/>
        <v>-</v>
      </c>
      <c r="S14" s="31" t="str">
        <f t="shared" si="13"/>
        <v>-</v>
      </c>
      <c r="T14" s="31" t="str">
        <f t="shared" si="14"/>
        <v>-</v>
      </c>
      <c r="U14" s="31" t="str">
        <f t="shared" si="15"/>
        <v>FTTH</v>
      </c>
      <c r="V14" s="31" t="str">
        <f t="shared" si="16"/>
        <v>-</v>
      </c>
      <c r="W14" s="31" t="str">
        <f t="shared" si="17"/>
        <v>General Retail</v>
      </c>
      <c r="X14" s="31" t="str">
        <f t="shared" si="2"/>
        <v>-</v>
      </c>
      <c r="Y14" s="78"/>
      <c r="Z14" s="79" t="str">
        <f>Z13</f>
        <v>BANJAR BANTAS MANUKAYA BALI</v>
      </c>
      <c r="AA14" s="79" t="str">
        <f>AA13</f>
        <v>BANJAR BANTAS MANUKAYA BALI</v>
      </c>
      <c r="AB14" s="26" t="str">
        <f t="shared" ref="AB14:AB64" si="24">AB13</f>
        <v>-</v>
      </c>
      <c r="AC14" s="26" t="str">
        <f t="shared" ref="AC14:AC64" si="25">AC13</f>
        <v>-</v>
      </c>
      <c r="AD14" s="39" t="str">
        <f>AD13</f>
        <v xml:space="preserve">JALAN </v>
      </c>
      <c r="AE14" s="32" t="str">
        <f t="shared" ref="AE14:AE64" si="26">AE13</f>
        <v>BANJAR BANTAS MANUKAYA</v>
      </c>
      <c r="AF14" s="26"/>
      <c r="AG14" s="39"/>
      <c r="AH14" s="39"/>
      <c r="AI14" s="80"/>
      <c r="AJ14" s="81" t="str">
        <f t="shared" si="21"/>
        <v>-</v>
      </c>
      <c r="AK14" s="98" t="s">
        <v>97</v>
      </c>
      <c r="AL14" s="82" t="s">
        <v>77</v>
      </c>
      <c r="AM14" s="26"/>
      <c r="AN14" s="26"/>
      <c r="AO14" s="26"/>
      <c r="AP14" s="26"/>
      <c r="AQ14" s="26"/>
      <c r="AR14" s="39" t="s">
        <v>78</v>
      </c>
      <c r="AS14" s="39" t="str">
        <f t="shared" si="22"/>
        <v>DPS.100.2701</v>
      </c>
      <c r="AT14" s="41"/>
      <c r="AU14" s="39" t="str">
        <f>AU13</f>
        <v>DPS.100.2701.BRBNTS.043</v>
      </c>
      <c r="AV14" s="83" t="s">
        <v>82</v>
      </c>
      <c r="AW14" s="60"/>
      <c r="AX14" s="100">
        <v>-8.4014500000000005</v>
      </c>
      <c r="AY14" s="100">
        <v>115.316554</v>
      </c>
      <c r="AZ14" s="52"/>
      <c r="BA14" s="39"/>
      <c r="BB14" s="39"/>
      <c r="BC14" s="39"/>
      <c r="BD14" s="39"/>
      <c r="BE14" s="39"/>
      <c r="BF14" s="39"/>
      <c r="BG14" s="39"/>
      <c r="BH14" s="39"/>
      <c r="BI14" s="39"/>
      <c r="BJ14" s="84"/>
    </row>
    <row r="15" spans="1:62" s="110" customFormat="1" ht="15.75" customHeight="1" x14ac:dyDescent="0.25">
      <c r="A15" s="61"/>
      <c r="B15" s="62"/>
      <c r="C15" s="62"/>
      <c r="D15" s="62"/>
      <c r="E15" s="62"/>
      <c r="F15" s="89"/>
      <c r="G15" s="89"/>
      <c r="H15" s="77">
        <v>7</v>
      </c>
      <c r="I15" s="31" t="str">
        <f t="shared" si="4"/>
        <v>MR.BRBNTS.P003</v>
      </c>
      <c r="J15" s="31" t="str">
        <f t="shared" si="5"/>
        <v xml:space="preserve"> -8.400787°</v>
      </c>
      <c r="K15" s="31" t="str">
        <f t="shared" si="6"/>
        <v>115.316815°</v>
      </c>
      <c r="L15" s="32" t="str">
        <f t="shared" si="6"/>
        <v>JALAN BANJAR BANTAS MANUKAYA</v>
      </c>
      <c r="M15" s="31" t="str">
        <f t="shared" si="7"/>
        <v>BALI</v>
      </c>
      <c r="N15" s="31" t="str">
        <f t="shared" si="8"/>
        <v>DENPASAR</v>
      </c>
      <c r="O15" s="31" t="str">
        <f t="shared" si="9"/>
        <v>TAMPAKSIRING</v>
      </c>
      <c r="P15" s="31" t="str">
        <f t="shared" si="10"/>
        <v>MANUKAYA</v>
      </c>
      <c r="Q15" s="31">
        <f t="shared" si="11"/>
        <v>80552</v>
      </c>
      <c r="R15" s="31" t="str">
        <f t="shared" si="12"/>
        <v>-</v>
      </c>
      <c r="S15" s="31" t="str">
        <f t="shared" si="13"/>
        <v>-</v>
      </c>
      <c r="T15" s="31" t="str">
        <f t="shared" si="14"/>
        <v>-</v>
      </c>
      <c r="U15" s="31" t="str">
        <f t="shared" si="15"/>
        <v>FTTH</v>
      </c>
      <c r="V15" s="31" t="str">
        <f t="shared" si="16"/>
        <v>-</v>
      </c>
      <c r="W15" s="31" t="str">
        <f t="shared" si="17"/>
        <v>General Retail</v>
      </c>
      <c r="X15" s="31" t="str">
        <f t="shared" si="2"/>
        <v>-</v>
      </c>
      <c r="Y15" s="78"/>
      <c r="Z15" s="79" t="str">
        <f t="shared" si="18"/>
        <v>BANJAR BANTAS MANUKAYA BALI</v>
      </c>
      <c r="AA15" s="79" t="str">
        <f t="shared" si="19"/>
        <v>BANJAR BANTAS MANUKAYA BALI</v>
      </c>
      <c r="AB15" s="26" t="str">
        <f t="shared" si="24"/>
        <v>-</v>
      </c>
      <c r="AC15" s="26" t="str">
        <f t="shared" si="25"/>
        <v>-</v>
      </c>
      <c r="AD15" s="39" t="str">
        <f t="shared" si="20"/>
        <v xml:space="preserve">JALAN </v>
      </c>
      <c r="AE15" s="32" t="str">
        <f t="shared" si="26"/>
        <v>BANJAR BANTAS MANUKAYA</v>
      </c>
      <c r="AF15" s="26"/>
      <c r="AG15" s="39"/>
      <c r="AH15" s="39"/>
      <c r="AI15" s="80"/>
      <c r="AJ15" s="81" t="str">
        <f t="shared" si="21"/>
        <v>-</v>
      </c>
      <c r="AK15" s="98" t="s">
        <v>143</v>
      </c>
      <c r="AL15" s="82" t="s">
        <v>77</v>
      </c>
      <c r="AM15" s="26"/>
      <c r="AN15" s="26"/>
      <c r="AO15" s="26"/>
      <c r="AP15" s="26"/>
      <c r="AQ15" s="26"/>
      <c r="AR15" s="39" t="s">
        <v>78</v>
      </c>
      <c r="AS15" s="39" t="str">
        <f t="shared" si="22"/>
        <v>DPS.100.2701</v>
      </c>
      <c r="AT15" s="41"/>
      <c r="AU15" s="39" t="str">
        <f t="shared" si="23"/>
        <v>DPS.100.2701.BRBNTS.043</v>
      </c>
      <c r="AV15" s="83" t="s">
        <v>82</v>
      </c>
      <c r="AW15" s="60"/>
      <c r="AX15" s="100">
        <v>-8.4016310000000001</v>
      </c>
      <c r="AY15" s="100">
        <v>115.31650399999999</v>
      </c>
      <c r="AZ15" s="52"/>
      <c r="BA15" s="39"/>
      <c r="BB15" s="39"/>
      <c r="BC15" s="39"/>
      <c r="BD15" s="39"/>
      <c r="BE15" s="39"/>
      <c r="BF15" s="39"/>
      <c r="BG15" s="39"/>
      <c r="BH15" s="39"/>
      <c r="BI15" s="39"/>
      <c r="BJ15" s="84"/>
    </row>
    <row r="16" spans="1:62" s="110" customFormat="1" ht="15.75" customHeight="1" x14ac:dyDescent="0.25">
      <c r="A16" s="61"/>
      <c r="B16" s="62"/>
      <c r="C16" s="62"/>
      <c r="D16" s="62"/>
      <c r="E16" s="62"/>
      <c r="F16" s="89"/>
      <c r="G16" s="89"/>
      <c r="H16" s="77">
        <v>8</v>
      </c>
      <c r="I16" s="31" t="str">
        <f t="shared" si="4"/>
        <v>MR.BRBNTS.P003</v>
      </c>
      <c r="J16" s="31" t="str">
        <f t="shared" si="5"/>
        <v xml:space="preserve"> -8.400787°</v>
      </c>
      <c r="K16" s="31" t="str">
        <f t="shared" si="6"/>
        <v>115.316815°</v>
      </c>
      <c r="L16" s="32" t="str">
        <f t="shared" si="6"/>
        <v>JALAN BANJAR BANTAS MANUKAYA</v>
      </c>
      <c r="M16" s="31" t="str">
        <f t="shared" si="7"/>
        <v>BALI</v>
      </c>
      <c r="N16" s="31" t="str">
        <f t="shared" si="8"/>
        <v>DENPASAR</v>
      </c>
      <c r="O16" s="31" t="str">
        <f t="shared" si="9"/>
        <v>TAMPAKSIRING</v>
      </c>
      <c r="P16" s="31" t="str">
        <f t="shared" si="10"/>
        <v>MANUKAYA</v>
      </c>
      <c r="Q16" s="31">
        <f t="shared" si="11"/>
        <v>80552</v>
      </c>
      <c r="R16" s="31" t="str">
        <f t="shared" si="12"/>
        <v>-</v>
      </c>
      <c r="S16" s="31" t="str">
        <f t="shared" si="13"/>
        <v>-</v>
      </c>
      <c r="T16" s="31" t="str">
        <f t="shared" si="14"/>
        <v>-</v>
      </c>
      <c r="U16" s="31" t="str">
        <f t="shared" si="15"/>
        <v>FTTH</v>
      </c>
      <c r="V16" s="31" t="str">
        <f t="shared" si="16"/>
        <v>-</v>
      </c>
      <c r="W16" s="31" t="str">
        <f t="shared" si="17"/>
        <v>General Retail</v>
      </c>
      <c r="X16" s="31" t="str">
        <f t="shared" si="2"/>
        <v>-</v>
      </c>
      <c r="Y16" s="78"/>
      <c r="Z16" s="79" t="str">
        <f t="shared" si="18"/>
        <v>BANJAR BANTAS MANUKAYA BALI</v>
      </c>
      <c r="AA16" s="79" t="str">
        <f t="shared" si="19"/>
        <v>BANJAR BANTAS MANUKAYA BALI</v>
      </c>
      <c r="AB16" s="26" t="str">
        <f t="shared" si="24"/>
        <v>-</v>
      </c>
      <c r="AC16" s="26" t="str">
        <f t="shared" si="25"/>
        <v>-</v>
      </c>
      <c r="AD16" s="39" t="str">
        <f t="shared" si="20"/>
        <v xml:space="preserve">JALAN </v>
      </c>
      <c r="AE16" s="32" t="str">
        <f t="shared" si="26"/>
        <v>BANJAR BANTAS MANUKAYA</v>
      </c>
      <c r="AF16" s="26"/>
      <c r="AG16" s="39"/>
      <c r="AH16" s="39"/>
      <c r="AI16" s="80"/>
      <c r="AJ16" s="81" t="str">
        <f t="shared" si="21"/>
        <v>-</v>
      </c>
      <c r="AK16" s="98" t="s">
        <v>142</v>
      </c>
      <c r="AL16" s="82" t="s">
        <v>77</v>
      </c>
      <c r="AM16" s="26"/>
      <c r="AN16" s="26"/>
      <c r="AO16" s="26"/>
      <c r="AP16" s="26"/>
      <c r="AQ16" s="26"/>
      <c r="AR16" s="39" t="s">
        <v>78</v>
      </c>
      <c r="AS16" s="39" t="str">
        <f t="shared" si="22"/>
        <v>DPS.100.2701</v>
      </c>
      <c r="AT16" s="41"/>
      <c r="AU16" s="39" t="str">
        <f t="shared" si="23"/>
        <v>DPS.100.2701.BRBNTS.043</v>
      </c>
      <c r="AV16" s="83" t="s">
        <v>82</v>
      </c>
      <c r="AW16" s="60"/>
      <c r="AX16" s="100">
        <v>-8.4017909999999993</v>
      </c>
      <c r="AY16" s="100">
        <v>115.316442</v>
      </c>
      <c r="AZ16" s="52"/>
      <c r="BA16" s="39"/>
      <c r="BB16" s="39"/>
      <c r="BC16" s="39"/>
      <c r="BD16" s="39"/>
      <c r="BE16" s="39"/>
      <c r="BF16" s="39"/>
      <c r="BG16" s="39"/>
      <c r="BH16" s="39"/>
      <c r="BI16" s="39"/>
      <c r="BJ16" s="84"/>
    </row>
    <row r="17" spans="1:62" s="110" customFormat="1" ht="15.75" customHeight="1" x14ac:dyDescent="0.25">
      <c r="A17" s="61"/>
      <c r="B17" s="62"/>
      <c r="C17" s="62"/>
      <c r="D17" s="62"/>
      <c r="E17" s="62"/>
      <c r="F17" s="89"/>
      <c r="G17" s="89"/>
      <c r="H17" s="77">
        <v>9</v>
      </c>
      <c r="I17" s="31" t="str">
        <f t="shared" si="4"/>
        <v>MR.BRBNTS.P003</v>
      </c>
      <c r="J17" s="31" t="str">
        <f t="shared" si="5"/>
        <v xml:space="preserve"> -8.400787°</v>
      </c>
      <c r="K17" s="31" t="str">
        <f t="shared" si="6"/>
        <v>115.316815°</v>
      </c>
      <c r="L17" s="32" t="str">
        <f t="shared" si="6"/>
        <v>JALAN BANJAR BANTAS MANUKAYA</v>
      </c>
      <c r="M17" s="31" t="str">
        <f t="shared" si="7"/>
        <v>BALI</v>
      </c>
      <c r="N17" s="31" t="str">
        <f t="shared" si="8"/>
        <v>DENPASAR</v>
      </c>
      <c r="O17" s="31" t="str">
        <f t="shared" si="9"/>
        <v>TAMPAKSIRING</v>
      </c>
      <c r="P17" s="31" t="str">
        <f t="shared" si="10"/>
        <v>MANUKAYA</v>
      </c>
      <c r="Q17" s="31">
        <f t="shared" si="11"/>
        <v>80552</v>
      </c>
      <c r="R17" s="31" t="str">
        <f t="shared" si="12"/>
        <v>-</v>
      </c>
      <c r="S17" s="31" t="str">
        <f t="shared" si="13"/>
        <v>-</v>
      </c>
      <c r="T17" s="31" t="str">
        <f t="shared" si="14"/>
        <v>-</v>
      </c>
      <c r="U17" s="31" t="str">
        <f t="shared" si="15"/>
        <v>FTTH</v>
      </c>
      <c r="V17" s="31" t="str">
        <f t="shared" si="16"/>
        <v>-</v>
      </c>
      <c r="W17" s="31" t="str">
        <f t="shared" si="17"/>
        <v>General Retail</v>
      </c>
      <c r="X17" s="31" t="str">
        <f t="shared" si="2"/>
        <v>-</v>
      </c>
      <c r="Y17" s="78"/>
      <c r="Z17" s="79" t="str">
        <f t="shared" si="18"/>
        <v>BANJAR BANTAS MANUKAYA BALI</v>
      </c>
      <c r="AA17" s="79" t="str">
        <f t="shared" si="19"/>
        <v>BANJAR BANTAS MANUKAYA BALI</v>
      </c>
      <c r="AB17" s="26" t="str">
        <f t="shared" si="24"/>
        <v>-</v>
      </c>
      <c r="AC17" s="26" t="str">
        <f t="shared" si="25"/>
        <v>-</v>
      </c>
      <c r="AD17" s="39" t="str">
        <f t="shared" si="20"/>
        <v xml:space="preserve">JALAN </v>
      </c>
      <c r="AE17" s="32" t="str">
        <f t="shared" si="26"/>
        <v>BANJAR BANTAS MANUKAYA</v>
      </c>
      <c r="AF17" s="26"/>
      <c r="AG17" s="39"/>
      <c r="AH17" s="39"/>
      <c r="AI17" s="80"/>
      <c r="AJ17" s="81" t="str">
        <f t="shared" si="21"/>
        <v>-</v>
      </c>
      <c r="AK17" s="98" t="s">
        <v>141</v>
      </c>
      <c r="AL17" s="82" t="s">
        <v>77</v>
      </c>
      <c r="AM17" s="26"/>
      <c r="AN17" s="26"/>
      <c r="AO17" s="26"/>
      <c r="AP17" s="26"/>
      <c r="AQ17" s="26"/>
      <c r="AR17" s="39" t="s">
        <v>78</v>
      </c>
      <c r="AS17" s="39" t="str">
        <f t="shared" si="22"/>
        <v>DPS.100.2701</v>
      </c>
      <c r="AT17" s="41"/>
      <c r="AU17" s="39" t="str">
        <f t="shared" si="23"/>
        <v>DPS.100.2701.BRBNTS.043</v>
      </c>
      <c r="AV17" s="83" t="s">
        <v>82</v>
      </c>
      <c r="AW17" s="60"/>
      <c r="AX17" s="100">
        <v>-8.4019379999999995</v>
      </c>
      <c r="AY17" s="100">
        <v>115.316433</v>
      </c>
      <c r="AZ17" s="52"/>
      <c r="BA17" s="39"/>
      <c r="BB17" s="39"/>
      <c r="BC17" s="39"/>
      <c r="BD17" s="39"/>
      <c r="BE17" s="39"/>
      <c r="BF17" s="39"/>
      <c r="BG17" s="39"/>
      <c r="BH17" s="39"/>
      <c r="BI17" s="39"/>
      <c r="BJ17" s="84"/>
    </row>
    <row r="18" spans="1:62" s="110" customFormat="1" ht="15.75" customHeight="1" x14ac:dyDescent="0.25">
      <c r="A18" s="62"/>
      <c r="B18" s="62"/>
      <c r="C18" s="62"/>
      <c r="D18" s="62"/>
      <c r="E18" s="62"/>
      <c r="F18" s="89"/>
      <c r="G18" s="89"/>
      <c r="H18" s="77">
        <v>10</v>
      </c>
      <c r="I18" s="31" t="str">
        <f t="shared" si="4"/>
        <v>MR.BRBNTS.P003</v>
      </c>
      <c r="J18" s="31" t="str">
        <f t="shared" si="5"/>
        <v xml:space="preserve"> -8.400787°</v>
      </c>
      <c r="K18" s="31" t="str">
        <f t="shared" si="6"/>
        <v>115.316815°</v>
      </c>
      <c r="L18" s="32" t="str">
        <f t="shared" si="6"/>
        <v>JALAN BANJAR BANTAS MANUKAYA</v>
      </c>
      <c r="M18" s="31" t="str">
        <f t="shared" si="7"/>
        <v>BALI</v>
      </c>
      <c r="N18" s="31" t="str">
        <f t="shared" si="8"/>
        <v>DENPASAR</v>
      </c>
      <c r="O18" s="31" t="str">
        <f t="shared" si="9"/>
        <v>TAMPAKSIRING</v>
      </c>
      <c r="P18" s="31" t="str">
        <f t="shared" si="10"/>
        <v>MANUKAYA</v>
      </c>
      <c r="Q18" s="31">
        <f t="shared" si="11"/>
        <v>80552</v>
      </c>
      <c r="R18" s="31" t="str">
        <f t="shared" si="12"/>
        <v>-</v>
      </c>
      <c r="S18" s="31" t="str">
        <f t="shared" si="13"/>
        <v>-</v>
      </c>
      <c r="T18" s="31" t="str">
        <f t="shared" si="14"/>
        <v>-</v>
      </c>
      <c r="U18" s="31" t="str">
        <f t="shared" si="15"/>
        <v>FTTH</v>
      </c>
      <c r="V18" s="31" t="str">
        <f t="shared" si="16"/>
        <v>-</v>
      </c>
      <c r="W18" s="31" t="str">
        <f t="shared" si="17"/>
        <v>General Retail</v>
      </c>
      <c r="X18" s="31" t="str">
        <f t="shared" si="2"/>
        <v>-</v>
      </c>
      <c r="Y18" s="78"/>
      <c r="Z18" s="79" t="str">
        <f t="shared" si="18"/>
        <v>BANJAR BANTAS MANUKAYA BALI</v>
      </c>
      <c r="AA18" s="79" t="str">
        <f t="shared" si="19"/>
        <v>BANJAR BANTAS MANUKAYA BALI</v>
      </c>
      <c r="AB18" s="26" t="str">
        <f t="shared" si="24"/>
        <v>-</v>
      </c>
      <c r="AC18" s="26" t="str">
        <f t="shared" si="25"/>
        <v>-</v>
      </c>
      <c r="AD18" s="39" t="str">
        <f t="shared" si="20"/>
        <v xml:space="preserve">JALAN </v>
      </c>
      <c r="AE18" s="32" t="str">
        <f t="shared" si="26"/>
        <v>BANJAR BANTAS MANUKAYA</v>
      </c>
      <c r="AF18" s="26"/>
      <c r="AG18" s="39"/>
      <c r="AH18" s="39"/>
      <c r="AI18" s="80"/>
      <c r="AJ18" s="81" t="str">
        <f t="shared" si="21"/>
        <v>-</v>
      </c>
      <c r="AK18" s="98" t="s">
        <v>145</v>
      </c>
      <c r="AL18" s="82" t="s">
        <v>77</v>
      </c>
      <c r="AM18" s="26"/>
      <c r="AN18" s="26"/>
      <c r="AO18" s="26"/>
      <c r="AP18" s="26"/>
      <c r="AQ18" s="26"/>
      <c r="AR18" s="39" t="s">
        <v>78</v>
      </c>
      <c r="AS18" s="39" t="str">
        <f t="shared" si="22"/>
        <v>DPS.100.2701</v>
      </c>
      <c r="AT18" s="41"/>
      <c r="AU18" s="39" t="str">
        <f t="shared" si="23"/>
        <v>DPS.100.2701.BRBNTS.043</v>
      </c>
      <c r="AV18" s="83" t="s">
        <v>82</v>
      </c>
      <c r="AW18" s="60"/>
      <c r="AX18" s="100">
        <v>-8.4018549999999994</v>
      </c>
      <c r="AY18" s="100">
        <v>115.316659</v>
      </c>
      <c r="AZ18" s="52"/>
      <c r="BA18" s="39"/>
      <c r="BB18" s="39"/>
      <c r="BC18" s="39"/>
      <c r="BD18" s="39"/>
      <c r="BE18" s="39"/>
      <c r="BF18" s="39"/>
      <c r="BG18" s="39"/>
      <c r="BH18" s="39"/>
      <c r="BI18" s="39"/>
      <c r="BJ18" s="84"/>
    </row>
    <row r="19" spans="1:62" s="110" customFormat="1" ht="18" customHeight="1" x14ac:dyDescent="0.25">
      <c r="A19" s="62"/>
      <c r="B19" s="62"/>
      <c r="C19" s="62"/>
      <c r="D19" s="62"/>
      <c r="E19" s="62"/>
      <c r="F19" s="90"/>
      <c r="G19" s="107"/>
      <c r="H19" s="77">
        <v>11</v>
      </c>
      <c r="I19" s="31" t="str">
        <f t="shared" si="4"/>
        <v>MR.BRBNTS.P003</v>
      </c>
      <c r="J19" s="31" t="str">
        <f t="shared" si="5"/>
        <v xml:space="preserve"> -8.400787°</v>
      </c>
      <c r="K19" s="31" t="str">
        <f t="shared" si="6"/>
        <v>115.316815°</v>
      </c>
      <c r="L19" s="32" t="str">
        <f t="shared" si="6"/>
        <v>JALAN BANJAR BANTAS MANUKAYA</v>
      </c>
      <c r="M19" s="31" t="str">
        <f t="shared" si="7"/>
        <v>BALI</v>
      </c>
      <c r="N19" s="31" t="str">
        <f t="shared" si="8"/>
        <v>DENPASAR</v>
      </c>
      <c r="O19" s="31" t="str">
        <f t="shared" si="9"/>
        <v>TAMPAKSIRING</v>
      </c>
      <c r="P19" s="31" t="str">
        <f t="shared" si="10"/>
        <v>MANUKAYA</v>
      </c>
      <c r="Q19" s="31">
        <f t="shared" si="11"/>
        <v>80552</v>
      </c>
      <c r="R19" s="31" t="str">
        <f t="shared" si="12"/>
        <v>-</v>
      </c>
      <c r="S19" s="31" t="str">
        <f t="shared" si="13"/>
        <v>-</v>
      </c>
      <c r="T19" s="31" t="str">
        <f t="shared" si="14"/>
        <v>-</v>
      </c>
      <c r="U19" s="31" t="str">
        <f t="shared" si="15"/>
        <v>FTTH</v>
      </c>
      <c r="V19" s="31" t="str">
        <f t="shared" si="16"/>
        <v>-</v>
      </c>
      <c r="W19" s="31" t="str">
        <f t="shared" si="17"/>
        <v>General Retail</v>
      </c>
      <c r="X19" s="31" t="str">
        <f t="shared" si="2"/>
        <v>-</v>
      </c>
      <c r="Y19" s="78"/>
      <c r="Z19" s="79" t="str">
        <f t="shared" si="18"/>
        <v>BANJAR BANTAS MANUKAYA BALI</v>
      </c>
      <c r="AA19" s="79" t="str">
        <f t="shared" si="19"/>
        <v>BANJAR BANTAS MANUKAYA BALI</v>
      </c>
      <c r="AB19" s="26" t="str">
        <f t="shared" si="24"/>
        <v>-</v>
      </c>
      <c r="AC19" s="26" t="str">
        <f t="shared" si="25"/>
        <v>-</v>
      </c>
      <c r="AD19" s="39" t="str">
        <f t="shared" si="20"/>
        <v xml:space="preserve">JALAN </v>
      </c>
      <c r="AE19" s="32" t="str">
        <f t="shared" si="26"/>
        <v>BANJAR BANTAS MANUKAYA</v>
      </c>
      <c r="AF19" s="34"/>
      <c r="AG19" s="41"/>
      <c r="AH19" s="41"/>
      <c r="AI19" s="80"/>
      <c r="AJ19" s="81" t="str">
        <f t="shared" si="21"/>
        <v>-</v>
      </c>
      <c r="AK19" s="98" t="s">
        <v>144</v>
      </c>
      <c r="AL19" s="82" t="s">
        <v>77</v>
      </c>
      <c r="AM19" s="34"/>
      <c r="AN19" s="34"/>
      <c r="AO19" s="34"/>
      <c r="AP19" s="34"/>
      <c r="AQ19" s="26"/>
      <c r="AR19" s="39" t="s">
        <v>78</v>
      </c>
      <c r="AS19" s="39" t="str">
        <f t="shared" si="22"/>
        <v>DPS.100.2701</v>
      </c>
      <c r="AT19" s="41"/>
      <c r="AU19" s="39" t="str">
        <f t="shared" si="23"/>
        <v>DPS.100.2701.BRBNTS.043</v>
      </c>
      <c r="AV19" s="83" t="s">
        <v>82</v>
      </c>
      <c r="AW19" s="60"/>
      <c r="AX19" s="100">
        <v>-8.4017130000000009</v>
      </c>
      <c r="AY19" s="100">
        <v>115.31678599999999</v>
      </c>
      <c r="AZ19" s="52"/>
      <c r="BA19" s="39"/>
      <c r="BB19" s="39"/>
      <c r="BC19" s="39"/>
      <c r="BD19" s="39"/>
      <c r="BE19" s="39"/>
      <c r="BF19" s="39"/>
      <c r="BG19" s="39"/>
      <c r="BH19" s="39"/>
      <c r="BI19" s="39"/>
      <c r="BJ19" s="84"/>
    </row>
    <row r="20" spans="1:62" s="110" customFormat="1" ht="18" customHeight="1" x14ac:dyDescent="0.25">
      <c r="A20" s="62"/>
      <c r="B20" s="62"/>
      <c r="C20" s="62"/>
      <c r="D20" s="62"/>
      <c r="E20" s="62"/>
      <c r="F20" s="90"/>
      <c r="G20" s="107"/>
      <c r="H20" s="77">
        <v>12</v>
      </c>
      <c r="I20" s="31" t="str">
        <f t="shared" si="4"/>
        <v>MR.BRBNTS.P003</v>
      </c>
      <c r="J20" s="31" t="str">
        <f t="shared" si="5"/>
        <v xml:space="preserve"> -8.400787°</v>
      </c>
      <c r="K20" s="31" t="str">
        <f t="shared" si="6"/>
        <v>115.316815°</v>
      </c>
      <c r="L20" s="32" t="str">
        <f t="shared" si="6"/>
        <v>JALAN BANJAR BANTAS MANUKAYA</v>
      </c>
      <c r="M20" s="31" t="str">
        <f t="shared" si="7"/>
        <v>BALI</v>
      </c>
      <c r="N20" s="31" t="str">
        <f t="shared" si="8"/>
        <v>DENPASAR</v>
      </c>
      <c r="O20" s="31" t="str">
        <f t="shared" si="9"/>
        <v>TAMPAKSIRING</v>
      </c>
      <c r="P20" s="31" t="str">
        <f t="shared" si="10"/>
        <v>MANUKAYA</v>
      </c>
      <c r="Q20" s="31">
        <f t="shared" si="11"/>
        <v>80552</v>
      </c>
      <c r="R20" s="31" t="str">
        <f t="shared" si="12"/>
        <v>-</v>
      </c>
      <c r="S20" s="31" t="str">
        <f t="shared" si="13"/>
        <v>-</v>
      </c>
      <c r="T20" s="31" t="str">
        <f t="shared" si="14"/>
        <v>-</v>
      </c>
      <c r="U20" s="31" t="str">
        <f t="shared" si="15"/>
        <v>FTTH</v>
      </c>
      <c r="V20" s="31" t="str">
        <f t="shared" si="16"/>
        <v>-</v>
      </c>
      <c r="W20" s="31" t="str">
        <f t="shared" si="17"/>
        <v>General Retail</v>
      </c>
      <c r="X20" s="31" t="str">
        <f t="shared" si="2"/>
        <v>-</v>
      </c>
      <c r="Y20" s="78"/>
      <c r="Z20" s="79" t="str">
        <f t="shared" si="18"/>
        <v>BANJAR BANTAS MANUKAYA BALI</v>
      </c>
      <c r="AA20" s="79" t="str">
        <f t="shared" si="19"/>
        <v>BANJAR BANTAS MANUKAYA BALI</v>
      </c>
      <c r="AB20" s="26" t="str">
        <f t="shared" si="24"/>
        <v>-</v>
      </c>
      <c r="AC20" s="26" t="str">
        <f t="shared" si="25"/>
        <v>-</v>
      </c>
      <c r="AD20" s="39" t="str">
        <f t="shared" si="20"/>
        <v xml:space="preserve">JALAN </v>
      </c>
      <c r="AE20" s="32" t="str">
        <f t="shared" si="26"/>
        <v>BANJAR BANTAS MANUKAYA</v>
      </c>
      <c r="AF20" s="34"/>
      <c r="AG20" s="41"/>
      <c r="AH20" s="41"/>
      <c r="AI20" s="80"/>
      <c r="AJ20" s="81" t="str">
        <f t="shared" si="21"/>
        <v>-</v>
      </c>
      <c r="AK20" s="98" t="s">
        <v>103</v>
      </c>
      <c r="AL20" s="82" t="s">
        <v>77</v>
      </c>
      <c r="AM20" s="34"/>
      <c r="AN20" s="34"/>
      <c r="AO20" s="34"/>
      <c r="AP20" s="34"/>
      <c r="AQ20" s="26"/>
      <c r="AR20" s="39" t="s">
        <v>78</v>
      </c>
      <c r="AS20" s="39" t="str">
        <f t="shared" si="22"/>
        <v>DPS.100.2701</v>
      </c>
      <c r="AT20" s="41"/>
      <c r="AU20" s="39" t="str">
        <f t="shared" si="23"/>
        <v>DPS.100.2701.BRBNTS.043</v>
      </c>
      <c r="AV20" s="83" t="s">
        <v>82</v>
      </c>
      <c r="AW20" s="60"/>
      <c r="AX20" s="100">
        <v>-8.4013659999999994</v>
      </c>
      <c r="AY20" s="100">
        <v>115.31685</v>
      </c>
      <c r="AZ20" s="52"/>
      <c r="BA20" s="39"/>
      <c r="BB20" s="39"/>
      <c r="BC20" s="39"/>
      <c r="BD20" s="39"/>
      <c r="BE20" s="39"/>
      <c r="BF20" s="39"/>
      <c r="BG20" s="39"/>
      <c r="BH20" s="39"/>
      <c r="BI20" s="39"/>
      <c r="BJ20" s="84"/>
    </row>
    <row r="21" spans="1:62" s="110" customFormat="1" ht="18" customHeight="1" x14ac:dyDescent="0.25">
      <c r="A21" s="89"/>
      <c r="B21" s="89"/>
      <c r="C21" s="89"/>
      <c r="D21" s="89"/>
      <c r="E21" s="89"/>
      <c r="F21" s="90"/>
      <c r="G21" s="89"/>
      <c r="H21" s="77">
        <v>13</v>
      </c>
      <c r="I21" s="31" t="str">
        <f t="shared" si="4"/>
        <v>MR.BRBNTS.P003</v>
      </c>
      <c r="J21" s="31" t="str">
        <f t="shared" si="5"/>
        <v xml:space="preserve"> -8.400787°</v>
      </c>
      <c r="K21" s="31" t="str">
        <f t="shared" si="6"/>
        <v>115.316815°</v>
      </c>
      <c r="L21" s="32" t="str">
        <f t="shared" si="6"/>
        <v>JALAN BANJAR BANTAS MANUKAYA</v>
      </c>
      <c r="M21" s="31" t="str">
        <f t="shared" si="7"/>
        <v>BALI</v>
      </c>
      <c r="N21" s="31" t="str">
        <f t="shared" si="8"/>
        <v>DENPASAR</v>
      </c>
      <c r="O21" s="31" t="str">
        <f t="shared" si="9"/>
        <v>TAMPAKSIRING</v>
      </c>
      <c r="P21" s="31" t="str">
        <f t="shared" si="10"/>
        <v>MANUKAYA</v>
      </c>
      <c r="Q21" s="31">
        <f t="shared" si="11"/>
        <v>80552</v>
      </c>
      <c r="R21" s="31" t="str">
        <f t="shared" si="12"/>
        <v>-</v>
      </c>
      <c r="S21" s="31" t="str">
        <f t="shared" si="13"/>
        <v>-</v>
      </c>
      <c r="T21" s="31" t="str">
        <f t="shared" si="14"/>
        <v>-</v>
      </c>
      <c r="U21" s="31" t="str">
        <f t="shared" si="15"/>
        <v>FTTH</v>
      </c>
      <c r="V21" s="31" t="str">
        <f t="shared" si="16"/>
        <v>-</v>
      </c>
      <c r="W21" s="31" t="str">
        <f t="shared" si="17"/>
        <v>General Retail</v>
      </c>
      <c r="X21" s="31" t="str">
        <f t="shared" si="2"/>
        <v>-</v>
      </c>
      <c r="Y21" s="78"/>
      <c r="Z21" s="79" t="str">
        <f t="shared" si="18"/>
        <v>BANJAR BANTAS MANUKAYA BALI</v>
      </c>
      <c r="AA21" s="79" t="str">
        <f t="shared" si="19"/>
        <v>BANJAR BANTAS MANUKAYA BALI</v>
      </c>
      <c r="AB21" s="26" t="str">
        <f t="shared" si="24"/>
        <v>-</v>
      </c>
      <c r="AC21" s="26" t="str">
        <f t="shared" si="25"/>
        <v>-</v>
      </c>
      <c r="AD21" s="39" t="str">
        <f t="shared" si="20"/>
        <v xml:space="preserve">JALAN </v>
      </c>
      <c r="AE21" s="32" t="str">
        <f t="shared" si="26"/>
        <v>BANJAR BANTAS MANUKAYA</v>
      </c>
      <c r="AF21" s="34"/>
      <c r="AG21" s="41"/>
      <c r="AH21" s="41"/>
      <c r="AI21" s="80"/>
      <c r="AJ21" s="81" t="str">
        <f t="shared" si="21"/>
        <v>-</v>
      </c>
      <c r="AK21" s="98" t="s">
        <v>104</v>
      </c>
      <c r="AL21" s="82" t="s">
        <v>77</v>
      </c>
      <c r="AM21" s="34"/>
      <c r="AN21" s="34"/>
      <c r="AO21" s="34"/>
      <c r="AP21" s="34"/>
      <c r="AQ21" s="26"/>
      <c r="AR21" s="39" t="s">
        <v>78</v>
      </c>
      <c r="AS21" s="39" t="str">
        <f t="shared" si="22"/>
        <v>DPS.100.2701</v>
      </c>
      <c r="AT21" s="41"/>
      <c r="AU21" s="39" t="str">
        <f t="shared" si="23"/>
        <v>DPS.100.2701.BRBNTS.043</v>
      </c>
      <c r="AV21" s="83" t="s">
        <v>82</v>
      </c>
      <c r="AW21" s="60"/>
      <c r="AX21" s="100">
        <v>-8.4012080000000005</v>
      </c>
      <c r="AY21" s="100">
        <v>115.316884</v>
      </c>
      <c r="AZ21" s="52"/>
      <c r="BA21" s="39"/>
      <c r="BB21" s="39"/>
      <c r="BC21" s="39"/>
      <c r="BD21" s="39"/>
      <c r="BE21" s="39"/>
      <c r="BF21" s="39"/>
      <c r="BG21" s="39"/>
      <c r="BH21" s="39"/>
      <c r="BI21" s="39"/>
      <c r="BJ21" s="84"/>
    </row>
    <row r="22" spans="1:62" s="110" customFormat="1" ht="18" customHeight="1" x14ac:dyDescent="0.25">
      <c r="A22" s="89"/>
      <c r="B22" s="89"/>
      <c r="C22" s="89"/>
      <c r="D22" s="89"/>
      <c r="E22" s="89"/>
      <c r="F22" s="90"/>
      <c r="G22" s="89"/>
      <c r="H22" s="77">
        <v>14</v>
      </c>
      <c r="I22" s="31" t="str">
        <f>I20</f>
        <v>MR.BRBNTS.P003</v>
      </c>
      <c r="J22" s="31" t="str">
        <f>J20</f>
        <v xml:space="preserve"> -8.400787°</v>
      </c>
      <c r="K22" s="31" t="str">
        <f>K20</f>
        <v>115.316815°</v>
      </c>
      <c r="L22" s="32" t="str">
        <f t="shared" ref="L22:L24" si="27">L21</f>
        <v>JALAN BANJAR BANTAS MANUKAYA</v>
      </c>
      <c r="M22" s="31" t="str">
        <f t="shared" ref="M22:W22" si="28">M20</f>
        <v>BALI</v>
      </c>
      <c r="N22" s="31" t="str">
        <f t="shared" si="28"/>
        <v>DENPASAR</v>
      </c>
      <c r="O22" s="31" t="str">
        <f t="shared" si="28"/>
        <v>TAMPAKSIRING</v>
      </c>
      <c r="P22" s="31" t="str">
        <f t="shared" si="28"/>
        <v>MANUKAYA</v>
      </c>
      <c r="Q22" s="31">
        <f t="shared" si="28"/>
        <v>80552</v>
      </c>
      <c r="R22" s="31" t="str">
        <f t="shared" si="28"/>
        <v>-</v>
      </c>
      <c r="S22" s="31" t="str">
        <f t="shared" si="28"/>
        <v>-</v>
      </c>
      <c r="T22" s="31" t="str">
        <f t="shared" si="28"/>
        <v>-</v>
      </c>
      <c r="U22" s="31" t="str">
        <f t="shared" si="28"/>
        <v>FTTH</v>
      </c>
      <c r="V22" s="31" t="str">
        <f t="shared" si="28"/>
        <v>-</v>
      </c>
      <c r="W22" s="31" t="str">
        <f t="shared" si="28"/>
        <v>General Retail</v>
      </c>
      <c r="X22" s="31" t="str">
        <f t="shared" ref="X22" si="29">X20</f>
        <v>-</v>
      </c>
      <c r="Y22" s="78"/>
      <c r="Z22" s="79" t="str">
        <f>Z20</f>
        <v>BANJAR BANTAS MANUKAYA BALI</v>
      </c>
      <c r="AA22" s="79" t="str">
        <f>AA20</f>
        <v>BANJAR BANTAS MANUKAYA BALI</v>
      </c>
      <c r="AB22" s="26" t="str">
        <f t="shared" si="24"/>
        <v>-</v>
      </c>
      <c r="AC22" s="26" t="str">
        <f t="shared" si="25"/>
        <v>-</v>
      </c>
      <c r="AD22" s="39" t="str">
        <f>AD20</f>
        <v xml:space="preserve">JALAN </v>
      </c>
      <c r="AE22" s="32" t="str">
        <f t="shared" si="26"/>
        <v>BANJAR BANTAS MANUKAYA</v>
      </c>
      <c r="AF22" s="34"/>
      <c r="AG22" s="41"/>
      <c r="AH22" s="41"/>
      <c r="AI22" s="80"/>
      <c r="AJ22" s="81" t="str">
        <f t="shared" si="21"/>
        <v>-</v>
      </c>
      <c r="AK22" s="98" t="s">
        <v>105</v>
      </c>
      <c r="AL22" s="82" t="s">
        <v>77</v>
      </c>
      <c r="AM22" s="34"/>
      <c r="AN22" s="34"/>
      <c r="AO22" s="34"/>
      <c r="AP22" s="34"/>
      <c r="AQ22" s="26"/>
      <c r="AR22" s="39" t="s">
        <v>78</v>
      </c>
      <c r="AS22" s="39" t="str">
        <f>AS20</f>
        <v>DPS.100.2701</v>
      </c>
      <c r="AT22" s="41"/>
      <c r="AU22" s="39" t="str">
        <f>AU20</f>
        <v>DPS.100.2701.BRBNTS.043</v>
      </c>
      <c r="AV22" s="83" t="s">
        <v>82</v>
      </c>
      <c r="AW22" s="60"/>
      <c r="AX22" s="100">
        <v>-8.4010259999999999</v>
      </c>
      <c r="AY22" s="100">
        <v>115.316924</v>
      </c>
      <c r="AZ22" s="52"/>
      <c r="BA22" s="39"/>
      <c r="BB22" s="39"/>
      <c r="BC22" s="39"/>
      <c r="BD22" s="39"/>
      <c r="BE22" s="39"/>
      <c r="BF22" s="39"/>
      <c r="BG22" s="39"/>
      <c r="BH22" s="39"/>
      <c r="BI22" s="39"/>
      <c r="BJ22" s="84"/>
    </row>
    <row r="23" spans="1:62" s="110" customFormat="1" ht="18" customHeight="1" x14ac:dyDescent="0.25">
      <c r="A23" s="89"/>
      <c r="B23" s="89"/>
      <c r="C23" s="89"/>
      <c r="D23" s="89"/>
      <c r="E23" s="89"/>
      <c r="F23" s="90"/>
      <c r="G23" s="89"/>
      <c r="H23" s="77">
        <v>15</v>
      </c>
      <c r="I23" s="31" t="str">
        <f t="shared" ref="I23:K24" si="30">I20</f>
        <v>MR.BRBNTS.P003</v>
      </c>
      <c r="J23" s="31" t="str">
        <f t="shared" si="30"/>
        <v xml:space="preserve"> -8.400787°</v>
      </c>
      <c r="K23" s="31" t="str">
        <f t="shared" si="30"/>
        <v>115.316815°</v>
      </c>
      <c r="L23" s="32" t="str">
        <f t="shared" si="27"/>
        <v>JALAN BANJAR BANTAS MANUKAYA</v>
      </c>
      <c r="M23" s="31" t="str">
        <f t="shared" ref="M23:W23" si="31">M20</f>
        <v>BALI</v>
      </c>
      <c r="N23" s="31" t="str">
        <f t="shared" si="31"/>
        <v>DENPASAR</v>
      </c>
      <c r="O23" s="31" t="str">
        <f t="shared" si="31"/>
        <v>TAMPAKSIRING</v>
      </c>
      <c r="P23" s="31" t="str">
        <f t="shared" si="31"/>
        <v>MANUKAYA</v>
      </c>
      <c r="Q23" s="31">
        <f t="shared" si="31"/>
        <v>80552</v>
      </c>
      <c r="R23" s="31" t="str">
        <f t="shared" si="31"/>
        <v>-</v>
      </c>
      <c r="S23" s="31" t="str">
        <f t="shared" si="31"/>
        <v>-</v>
      </c>
      <c r="T23" s="31" t="str">
        <f t="shared" si="31"/>
        <v>-</v>
      </c>
      <c r="U23" s="31" t="str">
        <f t="shared" si="31"/>
        <v>FTTH</v>
      </c>
      <c r="V23" s="31" t="str">
        <f t="shared" si="31"/>
        <v>-</v>
      </c>
      <c r="W23" s="31" t="str">
        <f t="shared" si="31"/>
        <v>General Retail</v>
      </c>
      <c r="X23" s="31" t="str">
        <f t="shared" ref="X23" si="32">X20</f>
        <v>-</v>
      </c>
      <c r="Y23" s="78"/>
      <c r="Z23" s="79" t="str">
        <f>Z20</f>
        <v>BANJAR BANTAS MANUKAYA BALI</v>
      </c>
      <c r="AA23" s="79" t="str">
        <f>AA20</f>
        <v>BANJAR BANTAS MANUKAYA BALI</v>
      </c>
      <c r="AB23" s="26" t="str">
        <f t="shared" si="24"/>
        <v>-</v>
      </c>
      <c r="AC23" s="26" t="str">
        <f t="shared" si="25"/>
        <v>-</v>
      </c>
      <c r="AD23" s="39" t="str">
        <f>AD20</f>
        <v xml:space="preserve">JALAN </v>
      </c>
      <c r="AE23" s="32" t="str">
        <f t="shared" si="26"/>
        <v>BANJAR BANTAS MANUKAYA</v>
      </c>
      <c r="AF23" s="34"/>
      <c r="AG23" s="41"/>
      <c r="AH23" s="41"/>
      <c r="AI23" s="80"/>
      <c r="AJ23" s="81" t="str">
        <f t="shared" si="21"/>
        <v>-</v>
      </c>
      <c r="AK23" s="98" t="s">
        <v>106</v>
      </c>
      <c r="AL23" s="82" t="s">
        <v>77</v>
      </c>
      <c r="AM23" s="34"/>
      <c r="AN23" s="34"/>
      <c r="AO23" s="34"/>
      <c r="AP23" s="34"/>
      <c r="AQ23" s="26"/>
      <c r="AR23" s="39" t="s">
        <v>78</v>
      </c>
      <c r="AS23" s="39" t="str">
        <f>AS20</f>
        <v>DPS.100.2701</v>
      </c>
      <c r="AT23" s="41"/>
      <c r="AU23" s="39" t="str">
        <f>AU20</f>
        <v>DPS.100.2701.BRBNTS.043</v>
      </c>
      <c r="AV23" s="83" t="s">
        <v>82</v>
      </c>
      <c r="AW23" s="60"/>
      <c r="AX23" s="100">
        <v>-8.4008950000000002</v>
      </c>
      <c r="AY23" s="100">
        <v>115.316946</v>
      </c>
      <c r="AZ23" s="52"/>
      <c r="BA23" s="39"/>
      <c r="BB23" s="39"/>
      <c r="BC23" s="39"/>
      <c r="BD23" s="39"/>
      <c r="BE23" s="39"/>
      <c r="BF23" s="39"/>
      <c r="BG23" s="39"/>
      <c r="BH23" s="39"/>
      <c r="BI23" s="39"/>
      <c r="BJ23" s="84"/>
    </row>
    <row r="24" spans="1:62" s="110" customFormat="1" ht="18" customHeight="1" x14ac:dyDescent="0.25">
      <c r="A24" s="89"/>
      <c r="B24" s="89"/>
      <c r="C24" s="89"/>
      <c r="D24" s="89"/>
      <c r="E24" s="89"/>
      <c r="F24" s="90"/>
      <c r="G24" s="89"/>
      <c r="H24" s="77">
        <v>16</v>
      </c>
      <c r="I24" s="31" t="str">
        <f t="shared" si="30"/>
        <v>MR.BRBNTS.P003</v>
      </c>
      <c r="J24" s="31" t="str">
        <f t="shared" si="30"/>
        <v xml:space="preserve"> -8.400787°</v>
      </c>
      <c r="K24" s="31" t="str">
        <f t="shared" si="30"/>
        <v>115.316815°</v>
      </c>
      <c r="L24" s="32" t="str">
        <f t="shared" si="27"/>
        <v>JALAN BANJAR BANTAS MANUKAYA</v>
      </c>
      <c r="M24" s="31" t="str">
        <f t="shared" ref="M24:W24" si="33">M21</f>
        <v>BALI</v>
      </c>
      <c r="N24" s="31" t="str">
        <f t="shared" si="33"/>
        <v>DENPASAR</v>
      </c>
      <c r="O24" s="31" t="str">
        <f t="shared" si="33"/>
        <v>TAMPAKSIRING</v>
      </c>
      <c r="P24" s="31" t="str">
        <f t="shared" si="33"/>
        <v>MANUKAYA</v>
      </c>
      <c r="Q24" s="31">
        <f t="shared" si="33"/>
        <v>80552</v>
      </c>
      <c r="R24" s="31" t="str">
        <f t="shared" si="33"/>
        <v>-</v>
      </c>
      <c r="S24" s="31" t="str">
        <f t="shared" si="33"/>
        <v>-</v>
      </c>
      <c r="T24" s="31" t="str">
        <f t="shared" si="33"/>
        <v>-</v>
      </c>
      <c r="U24" s="31" t="str">
        <f t="shared" si="33"/>
        <v>FTTH</v>
      </c>
      <c r="V24" s="31" t="str">
        <f t="shared" si="33"/>
        <v>-</v>
      </c>
      <c r="W24" s="31" t="str">
        <f t="shared" si="33"/>
        <v>General Retail</v>
      </c>
      <c r="X24" s="31" t="str">
        <f t="shared" ref="X24" si="34">X21</f>
        <v>-</v>
      </c>
      <c r="Y24" s="78"/>
      <c r="Z24" s="79" t="str">
        <f>Z21</f>
        <v>BANJAR BANTAS MANUKAYA BALI</v>
      </c>
      <c r="AA24" s="79" t="str">
        <f>AA21</f>
        <v>BANJAR BANTAS MANUKAYA BALI</v>
      </c>
      <c r="AB24" s="26" t="str">
        <f t="shared" si="24"/>
        <v>-</v>
      </c>
      <c r="AC24" s="26" t="str">
        <f t="shared" si="25"/>
        <v>-</v>
      </c>
      <c r="AD24" s="39" t="str">
        <f>AD21</f>
        <v xml:space="preserve">JALAN </v>
      </c>
      <c r="AE24" s="32" t="str">
        <f t="shared" si="26"/>
        <v>BANJAR BANTAS MANUKAYA</v>
      </c>
      <c r="AF24" s="34"/>
      <c r="AG24" s="41"/>
      <c r="AH24" s="41"/>
      <c r="AI24" s="80"/>
      <c r="AJ24" s="81" t="str">
        <f t="shared" si="21"/>
        <v>-</v>
      </c>
      <c r="AK24" s="98" t="s">
        <v>112</v>
      </c>
      <c r="AL24" s="82" t="s">
        <v>77</v>
      </c>
      <c r="AM24" s="34"/>
      <c r="AN24" s="34"/>
      <c r="AO24" s="34"/>
      <c r="AP24" s="34"/>
      <c r="AQ24" s="26"/>
      <c r="AR24" s="39" t="s">
        <v>78</v>
      </c>
      <c r="AS24" s="39" t="str">
        <f>AS21</f>
        <v>DPS.100.2701</v>
      </c>
      <c r="AT24" s="41"/>
      <c r="AU24" s="39" t="str">
        <f>AU21</f>
        <v>DPS.100.2701.BRBNTS.043</v>
      </c>
      <c r="AV24" s="83" t="s">
        <v>82</v>
      </c>
      <c r="AW24" s="60"/>
      <c r="AX24" s="100">
        <v>-8.4007059999999996</v>
      </c>
      <c r="AY24" s="100">
        <v>115.317003</v>
      </c>
      <c r="AZ24" s="52"/>
      <c r="BA24" s="39"/>
      <c r="BB24" s="39"/>
      <c r="BC24" s="39"/>
      <c r="BD24" s="39"/>
      <c r="BE24" s="39"/>
      <c r="BF24" s="39"/>
      <c r="BG24" s="39"/>
      <c r="BH24" s="39"/>
      <c r="BI24" s="39"/>
      <c r="BJ24" s="84"/>
    </row>
    <row r="25" spans="1:62" s="110" customFormat="1" ht="18" customHeight="1" x14ac:dyDescent="0.25">
      <c r="A25" s="54" t="s">
        <v>74</v>
      </c>
      <c r="B25" s="54">
        <v>3</v>
      </c>
      <c r="C25" s="54" t="s">
        <v>81</v>
      </c>
      <c r="D25" s="54" t="s">
        <v>80</v>
      </c>
      <c r="E25" s="54">
        <v>1</v>
      </c>
      <c r="F25" s="54">
        <v>3</v>
      </c>
      <c r="G25" s="106" t="s">
        <v>83</v>
      </c>
      <c r="H25" s="64">
        <v>1</v>
      </c>
      <c r="I25" s="65" t="s">
        <v>206</v>
      </c>
      <c r="J25" s="65" t="s">
        <v>207</v>
      </c>
      <c r="K25" s="65" t="s">
        <v>208</v>
      </c>
      <c r="L25" s="30" t="str">
        <f>L9</f>
        <v>JALAN BANJAR BANTAS MANUKAYA</v>
      </c>
      <c r="M25" s="65" t="str">
        <f t="shared" si="7"/>
        <v>BALI</v>
      </c>
      <c r="N25" s="65" t="str">
        <f t="shared" si="8"/>
        <v>DENPASAR</v>
      </c>
      <c r="O25" s="65" t="str">
        <f t="shared" si="9"/>
        <v>TAMPAKSIRING</v>
      </c>
      <c r="P25" s="65" t="str">
        <f t="shared" si="10"/>
        <v>MANUKAYA</v>
      </c>
      <c r="Q25" s="65">
        <f t="shared" si="11"/>
        <v>80552</v>
      </c>
      <c r="R25" s="65" t="str">
        <f t="shared" si="12"/>
        <v>-</v>
      </c>
      <c r="S25" s="65" t="str">
        <f t="shared" si="13"/>
        <v>-</v>
      </c>
      <c r="T25" s="65" t="str">
        <f t="shared" si="14"/>
        <v>-</v>
      </c>
      <c r="U25" s="65" t="str">
        <f t="shared" si="15"/>
        <v>FTTH</v>
      </c>
      <c r="V25" s="65" t="str">
        <f t="shared" si="16"/>
        <v>-</v>
      </c>
      <c r="W25" s="65" t="str">
        <f t="shared" si="17"/>
        <v>General Retail</v>
      </c>
      <c r="X25" s="65" t="str">
        <f t="shared" si="2"/>
        <v>-</v>
      </c>
      <c r="Y25" s="68"/>
      <c r="Z25" s="69" t="str">
        <f t="shared" si="18"/>
        <v>BANJAR BANTAS MANUKAYA BALI</v>
      </c>
      <c r="AA25" s="69" t="str">
        <f t="shared" si="19"/>
        <v>BANJAR BANTAS MANUKAYA BALI</v>
      </c>
      <c r="AB25" s="25" t="str">
        <f t="shared" si="24"/>
        <v>-</v>
      </c>
      <c r="AC25" s="25" t="str">
        <f t="shared" si="25"/>
        <v>-</v>
      </c>
      <c r="AD25" s="55" t="str">
        <f t="shared" si="20"/>
        <v xml:space="preserve">JALAN </v>
      </c>
      <c r="AE25" s="30" t="str">
        <f t="shared" si="26"/>
        <v>BANJAR BANTAS MANUKAYA</v>
      </c>
      <c r="AF25" s="33"/>
      <c r="AG25" s="40"/>
      <c r="AH25" s="40"/>
      <c r="AI25" s="91"/>
      <c r="AJ25" s="71" t="str">
        <f t="shared" si="21"/>
        <v>-</v>
      </c>
      <c r="AK25" s="99" t="s">
        <v>107</v>
      </c>
      <c r="AL25" s="72" t="s">
        <v>77</v>
      </c>
      <c r="AM25" s="33"/>
      <c r="AN25" s="33"/>
      <c r="AO25" s="33"/>
      <c r="AP25" s="33"/>
      <c r="AQ25" s="25"/>
      <c r="AR25" s="55" t="s">
        <v>78</v>
      </c>
      <c r="AS25" s="55" t="str">
        <f t="shared" si="22"/>
        <v>DPS.100.2701</v>
      </c>
      <c r="AT25" s="40"/>
      <c r="AU25" s="55" t="str">
        <f t="shared" si="23"/>
        <v>DPS.100.2701.BRBNTS.043</v>
      </c>
      <c r="AV25" s="74" t="s">
        <v>83</v>
      </c>
      <c r="AW25" s="56"/>
      <c r="AX25" s="101">
        <v>-8.401014</v>
      </c>
      <c r="AY25" s="101">
        <v>115.317151</v>
      </c>
      <c r="AZ25" s="53"/>
      <c r="BA25" s="55"/>
      <c r="BB25" s="55"/>
      <c r="BC25" s="55"/>
      <c r="BD25" s="55"/>
      <c r="BE25" s="55"/>
      <c r="BF25" s="55"/>
      <c r="BG25" s="55"/>
      <c r="BH25" s="55"/>
      <c r="BI25" s="55"/>
      <c r="BJ25" s="73"/>
    </row>
    <row r="26" spans="1:62" s="110" customFormat="1" ht="18" customHeight="1" x14ac:dyDescent="0.25">
      <c r="A26" s="57"/>
      <c r="B26" s="57">
        <v>4</v>
      </c>
      <c r="C26" s="58" t="s">
        <v>81</v>
      </c>
      <c r="D26" s="58" t="s">
        <v>80</v>
      </c>
      <c r="E26" s="59">
        <v>1</v>
      </c>
      <c r="F26" s="57">
        <v>4</v>
      </c>
      <c r="G26" s="106"/>
      <c r="H26" s="77">
        <v>2</v>
      </c>
      <c r="I26" s="31" t="str">
        <f>I25</f>
        <v>MR.BRBNTS.P005</v>
      </c>
      <c r="J26" s="31" t="str">
        <f t="shared" ref="J26:K26" si="35">J25</f>
        <v xml:space="preserve"> -8.401108°</v>
      </c>
      <c r="K26" s="31" t="str">
        <f t="shared" si="35"/>
        <v>115.317761°</v>
      </c>
      <c r="L26" s="32" t="str">
        <f>L10</f>
        <v>JALAN BANJAR BANTAS MANUKAYA</v>
      </c>
      <c r="M26" s="31" t="str">
        <f t="shared" si="7"/>
        <v>BALI</v>
      </c>
      <c r="N26" s="31" t="str">
        <f t="shared" si="8"/>
        <v>DENPASAR</v>
      </c>
      <c r="O26" s="31" t="str">
        <f t="shared" si="9"/>
        <v>TAMPAKSIRING</v>
      </c>
      <c r="P26" s="31" t="str">
        <f t="shared" si="10"/>
        <v>MANUKAYA</v>
      </c>
      <c r="Q26" s="31">
        <f t="shared" si="11"/>
        <v>80552</v>
      </c>
      <c r="R26" s="31" t="str">
        <f t="shared" si="12"/>
        <v>-</v>
      </c>
      <c r="S26" s="31" t="str">
        <f t="shared" si="13"/>
        <v>-</v>
      </c>
      <c r="T26" s="31" t="str">
        <f t="shared" si="14"/>
        <v>-</v>
      </c>
      <c r="U26" s="31" t="str">
        <f t="shared" si="15"/>
        <v>FTTH</v>
      </c>
      <c r="V26" s="31" t="str">
        <f t="shared" si="16"/>
        <v>-</v>
      </c>
      <c r="W26" s="31" t="str">
        <f t="shared" si="17"/>
        <v>General Retail</v>
      </c>
      <c r="X26" s="31" t="str">
        <f t="shared" si="2"/>
        <v>-</v>
      </c>
      <c r="Y26" s="78"/>
      <c r="Z26" s="79" t="str">
        <f t="shared" si="18"/>
        <v>BANJAR BANTAS MANUKAYA BALI</v>
      </c>
      <c r="AA26" s="79" t="str">
        <f t="shared" si="19"/>
        <v>BANJAR BANTAS MANUKAYA BALI</v>
      </c>
      <c r="AB26" s="26" t="str">
        <f t="shared" si="24"/>
        <v>-</v>
      </c>
      <c r="AC26" s="26" t="str">
        <f t="shared" si="25"/>
        <v>-</v>
      </c>
      <c r="AD26" s="39" t="str">
        <f t="shared" si="20"/>
        <v xml:space="preserve">JALAN </v>
      </c>
      <c r="AE26" s="32" t="str">
        <f t="shared" si="26"/>
        <v>BANJAR BANTAS MANUKAYA</v>
      </c>
      <c r="AF26" s="34"/>
      <c r="AG26" s="41"/>
      <c r="AH26" s="41"/>
      <c r="AI26" s="92"/>
      <c r="AJ26" s="81" t="str">
        <f t="shared" si="21"/>
        <v>-</v>
      </c>
      <c r="AK26" s="98" t="s">
        <v>111</v>
      </c>
      <c r="AL26" s="82" t="s">
        <v>77</v>
      </c>
      <c r="AM26" s="34"/>
      <c r="AN26" s="34"/>
      <c r="AO26" s="34"/>
      <c r="AP26" s="34"/>
      <c r="AQ26" s="26"/>
      <c r="AR26" s="39" t="s">
        <v>78</v>
      </c>
      <c r="AS26" s="39" t="str">
        <f t="shared" si="22"/>
        <v>DPS.100.2701</v>
      </c>
      <c r="AT26" s="41"/>
      <c r="AU26" s="39" t="str">
        <f t="shared" si="23"/>
        <v>DPS.100.2701.BRBNTS.043</v>
      </c>
      <c r="AV26" s="83" t="s">
        <v>83</v>
      </c>
      <c r="AW26" s="60"/>
      <c r="AX26" s="100">
        <v>-8.4008099999999999</v>
      </c>
      <c r="AY26" s="100">
        <v>115.317306</v>
      </c>
      <c r="AZ26" s="52"/>
      <c r="BA26" s="39"/>
      <c r="BB26" s="39"/>
      <c r="BC26" s="39"/>
      <c r="BD26" s="39"/>
      <c r="BE26" s="39"/>
      <c r="BF26" s="39"/>
      <c r="BG26" s="39"/>
      <c r="BH26" s="39"/>
      <c r="BI26" s="39"/>
      <c r="BJ26" s="84"/>
    </row>
    <row r="27" spans="1:62" s="110" customFormat="1" ht="18" customHeight="1" x14ac:dyDescent="0.25">
      <c r="A27" s="62"/>
      <c r="B27" s="62"/>
      <c r="C27" s="62"/>
      <c r="D27" s="62"/>
      <c r="E27" s="62"/>
      <c r="F27" s="89"/>
      <c r="G27" s="89"/>
      <c r="H27" s="77">
        <v>3</v>
      </c>
      <c r="I27" s="31" t="str">
        <f t="shared" ref="I27:I36" si="36">I26</f>
        <v>MR.BRBNTS.P005</v>
      </c>
      <c r="J27" s="31" t="str">
        <f t="shared" ref="J27:J36" si="37">J26</f>
        <v xml:space="preserve"> -8.401108°</v>
      </c>
      <c r="K27" s="31" t="str">
        <f t="shared" ref="K27:K36" si="38">K26</f>
        <v>115.317761°</v>
      </c>
      <c r="L27" s="32" t="str">
        <f t="shared" ref="L27:L39" si="39">L11</f>
        <v>JALAN BANJAR BANTAS MANUKAYA</v>
      </c>
      <c r="M27" s="31" t="str">
        <f t="shared" si="7"/>
        <v>BALI</v>
      </c>
      <c r="N27" s="31" t="str">
        <f t="shared" si="8"/>
        <v>DENPASAR</v>
      </c>
      <c r="O27" s="31" t="str">
        <f t="shared" si="9"/>
        <v>TAMPAKSIRING</v>
      </c>
      <c r="P27" s="31" t="str">
        <f t="shared" si="10"/>
        <v>MANUKAYA</v>
      </c>
      <c r="Q27" s="31">
        <f t="shared" si="11"/>
        <v>80552</v>
      </c>
      <c r="R27" s="31" t="str">
        <f t="shared" si="12"/>
        <v>-</v>
      </c>
      <c r="S27" s="31" t="str">
        <f t="shared" si="13"/>
        <v>-</v>
      </c>
      <c r="T27" s="31" t="str">
        <f t="shared" si="14"/>
        <v>-</v>
      </c>
      <c r="U27" s="31" t="str">
        <f t="shared" si="15"/>
        <v>FTTH</v>
      </c>
      <c r="V27" s="31" t="str">
        <f t="shared" si="16"/>
        <v>-</v>
      </c>
      <c r="W27" s="31" t="str">
        <f t="shared" si="17"/>
        <v>General Retail</v>
      </c>
      <c r="X27" s="31" t="str">
        <f t="shared" si="2"/>
        <v>-</v>
      </c>
      <c r="Y27" s="78"/>
      <c r="Z27" s="79" t="str">
        <f t="shared" si="18"/>
        <v>BANJAR BANTAS MANUKAYA BALI</v>
      </c>
      <c r="AA27" s="79" t="str">
        <f t="shared" si="19"/>
        <v>BANJAR BANTAS MANUKAYA BALI</v>
      </c>
      <c r="AB27" s="26" t="str">
        <f t="shared" si="24"/>
        <v>-</v>
      </c>
      <c r="AC27" s="26" t="str">
        <f t="shared" si="25"/>
        <v>-</v>
      </c>
      <c r="AD27" s="39" t="str">
        <f t="shared" si="20"/>
        <v xml:space="preserve">JALAN </v>
      </c>
      <c r="AE27" s="32" t="str">
        <f t="shared" si="26"/>
        <v>BANJAR BANTAS MANUKAYA</v>
      </c>
      <c r="AF27" s="34"/>
      <c r="AG27" s="41"/>
      <c r="AH27" s="41"/>
      <c r="AI27" s="80"/>
      <c r="AJ27" s="81" t="str">
        <f t="shared" si="21"/>
        <v>-</v>
      </c>
      <c r="AK27" s="98" t="s">
        <v>110</v>
      </c>
      <c r="AL27" s="82" t="s">
        <v>77</v>
      </c>
      <c r="AM27" s="34"/>
      <c r="AN27" s="34"/>
      <c r="AO27" s="34"/>
      <c r="AP27" s="34"/>
      <c r="AQ27" s="26"/>
      <c r="AR27" s="39" t="s">
        <v>78</v>
      </c>
      <c r="AS27" s="39" t="str">
        <f t="shared" si="22"/>
        <v>DPS.100.2701</v>
      </c>
      <c r="AT27" s="41"/>
      <c r="AU27" s="39" t="str">
        <f t="shared" si="23"/>
        <v>DPS.100.2701.BRBNTS.043</v>
      </c>
      <c r="AV27" s="83" t="s">
        <v>83</v>
      </c>
      <c r="AW27" s="60"/>
      <c r="AX27" s="100">
        <v>-8.400836</v>
      </c>
      <c r="AY27" s="100">
        <v>115.31742800000001</v>
      </c>
      <c r="AZ27" s="52"/>
      <c r="BA27" s="39"/>
      <c r="BB27" s="39"/>
      <c r="BC27" s="39"/>
      <c r="BD27" s="39"/>
      <c r="BE27" s="39"/>
      <c r="BF27" s="39"/>
      <c r="BG27" s="39"/>
      <c r="BH27" s="39"/>
      <c r="BI27" s="39"/>
      <c r="BJ27" s="84"/>
    </row>
    <row r="28" spans="1:62" s="110" customFormat="1" ht="18" customHeight="1" x14ac:dyDescent="0.25">
      <c r="A28" s="62"/>
      <c r="B28" s="62"/>
      <c r="C28" s="62"/>
      <c r="D28" s="62"/>
      <c r="E28" s="62"/>
      <c r="F28" s="89"/>
      <c r="G28" s="89"/>
      <c r="H28" s="77">
        <v>4</v>
      </c>
      <c r="I28" s="31" t="str">
        <f t="shared" si="36"/>
        <v>MR.BRBNTS.P005</v>
      </c>
      <c r="J28" s="31" t="str">
        <f t="shared" si="37"/>
        <v xml:space="preserve"> -8.401108°</v>
      </c>
      <c r="K28" s="31" t="str">
        <f t="shared" si="38"/>
        <v>115.317761°</v>
      </c>
      <c r="L28" s="32" t="str">
        <f t="shared" si="39"/>
        <v>JALAN BANJAR BANTAS MANUKAYA</v>
      </c>
      <c r="M28" s="31" t="str">
        <f t="shared" si="7"/>
        <v>BALI</v>
      </c>
      <c r="N28" s="31" t="str">
        <f t="shared" si="8"/>
        <v>DENPASAR</v>
      </c>
      <c r="O28" s="31" t="str">
        <f t="shared" si="9"/>
        <v>TAMPAKSIRING</v>
      </c>
      <c r="P28" s="31" t="str">
        <f t="shared" si="10"/>
        <v>MANUKAYA</v>
      </c>
      <c r="Q28" s="31">
        <f t="shared" si="11"/>
        <v>80552</v>
      </c>
      <c r="R28" s="31" t="str">
        <f t="shared" si="12"/>
        <v>-</v>
      </c>
      <c r="S28" s="31" t="str">
        <f t="shared" si="13"/>
        <v>-</v>
      </c>
      <c r="T28" s="31" t="str">
        <f t="shared" si="14"/>
        <v>-</v>
      </c>
      <c r="U28" s="31" t="str">
        <f t="shared" si="15"/>
        <v>FTTH</v>
      </c>
      <c r="V28" s="31" t="str">
        <f t="shared" si="16"/>
        <v>-</v>
      </c>
      <c r="W28" s="31" t="str">
        <f t="shared" si="17"/>
        <v>General Retail</v>
      </c>
      <c r="X28" s="31" t="str">
        <f t="shared" si="2"/>
        <v>-</v>
      </c>
      <c r="Y28" s="78"/>
      <c r="Z28" s="79" t="str">
        <f t="shared" si="18"/>
        <v>BANJAR BANTAS MANUKAYA BALI</v>
      </c>
      <c r="AA28" s="79" t="str">
        <f t="shared" si="19"/>
        <v>BANJAR BANTAS MANUKAYA BALI</v>
      </c>
      <c r="AB28" s="26" t="str">
        <f t="shared" si="24"/>
        <v>-</v>
      </c>
      <c r="AC28" s="26" t="str">
        <f t="shared" si="25"/>
        <v>-</v>
      </c>
      <c r="AD28" s="39" t="str">
        <f t="shared" si="20"/>
        <v xml:space="preserve">JALAN </v>
      </c>
      <c r="AE28" s="32" t="str">
        <f t="shared" si="26"/>
        <v>BANJAR BANTAS MANUKAYA</v>
      </c>
      <c r="AF28" s="34"/>
      <c r="AG28" s="41"/>
      <c r="AH28" s="41"/>
      <c r="AI28" s="80"/>
      <c r="AJ28" s="81" t="str">
        <f t="shared" si="21"/>
        <v>-</v>
      </c>
      <c r="AK28" s="98" t="s">
        <v>109</v>
      </c>
      <c r="AL28" s="82" t="s">
        <v>77</v>
      </c>
      <c r="AM28" s="34"/>
      <c r="AN28" s="34"/>
      <c r="AO28" s="34"/>
      <c r="AP28" s="34"/>
      <c r="AQ28" s="26"/>
      <c r="AR28" s="39" t="s">
        <v>78</v>
      </c>
      <c r="AS28" s="39" t="str">
        <f t="shared" si="22"/>
        <v>DPS.100.2701</v>
      </c>
      <c r="AT28" s="41"/>
      <c r="AU28" s="39" t="str">
        <f t="shared" si="23"/>
        <v>DPS.100.2701.BRBNTS.043</v>
      </c>
      <c r="AV28" s="83" t="s">
        <v>83</v>
      </c>
      <c r="AW28" s="60"/>
      <c r="AX28" s="100">
        <v>-8.4009459999999994</v>
      </c>
      <c r="AY28" s="100">
        <v>115.31775500000001</v>
      </c>
      <c r="AZ28" s="52"/>
      <c r="BA28" s="39"/>
      <c r="BB28" s="39"/>
      <c r="BC28" s="39"/>
      <c r="BD28" s="39"/>
      <c r="BE28" s="39"/>
      <c r="BF28" s="39"/>
      <c r="BG28" s="39"/>
      <c r="BH28" s="39"/>
      <c r="BI28" s="39"/>
      <c r="BJ28" s="84"/>
    </row>
    <row r="29" spans="1:62" s="110" customFormat="1" ht="18" customHeight="1" x14ac:dyDescent="0.25">
      <c r="A29" s="62"/>
      <c r="B29" s="62"/>
      <c r="C29" s="62"/>
      <c r="D29" s="62"/>
      <c r="E29" s="62"/>
      <c r="F29" s="89"/>
      <c r="G29" s="89"/>
      <c r="H29" s="77">
        <v>5</v>
      </c>
      <c r="I29" s="31" t="str">
        <f t="shared" si="36"/>
        <v>MR.BRBNTS.P005</v>
      </c>
      <c r="J29" s="31" t="str">
        <f t="shared" si="37"/>
        <v xml:space="preserve"> -8.401108°</v>
      </c>
      <c r="K29" s="31" t="str">
        <f t="shared" si="38"/>
        <v>115.317761°</v>
      </c>
      <c r="L29" s="32" t="str">
        <f t="shared" si="39"/>
        <v>JALAN BANJAR BANTAS MANUKAYA</v>
      </c>
      <c r="M29" s="31" t="str">
        <f t="shared" si="7"/>
        <v>BALI</v>
      </c>
      <c r="N29" s="31" t="str">
        <f t="shared" si="8"/>
        <v>DENPASAR</v>
      </c>
      <c r="O29" s="31" t="str">
        <f t="shared" si="9"/>
        <v>TAMPAKSIRING</v>
      </c>
      <c r="P29" s="31" t="str">
        <f t="shared" si="10"/>
        <v>MANUKAYA</v>
      </c>
      <c r="Q29" s="31">
        <f t="shared" si="11"/>
        <v>80552</v>
      </c>
      <c r="R29" s="31" t="str">
        <f t="shared" si="12"/>
        <v>-</v>
      </c>
      <c r="S29" s="31" t="str">
        <f t="shared" si="13"/>
        <v>-</v>
      </c>
      <c r="T29" s="31" t="str">
        <f t="shared" si="14"/>
        <v>-</v>
      </c>
      <c r="U29" s="31" t="str">
        <f t="shared" si="15"/>
        <v>FTTH</v>
      </c>
      <c r="V29" s="31" t="str">
        <f t="shared" si="16"/>
        <v>-</v>
      </c>
      <c r="W29" s="31" t="str">
        <f t="shared" si="17"/>
        <v>General Retail</v>
      </c>
      <c r="X29" s="31" t="str">
        <f t="shared" si="2"/>
        <v>-</v>
      </c>
      <c r="Y29" s="78"/>
      <c r="Z29" s="79" t="str">
        <f t="shared" si="18"/>
        <v>BANJAR BANTAS MANUKAYA BALI</v>
      </c>
      <c r="AA29" s="79" t="str">
        <f t="shared" si="19"/>
        <v>BANJAR BANTAS MANUKAYA BALI</v>
      </c>
      <c r="AB29" s="26" t="str">
        <f t="shared" si="24"/>
        <v>-</v>
      </c>
      <c r="AC29" s="26" t="str">
        <f t="shared" si="25"/>
        <v>-</v>
      </c>
      <c r="AD29" s="39" t="str">
        <f t="shared" si="20"/>
        <v xml:space="preserve">JALAN </v>
      </c>
      <c r="AE29" s="32" t="str">
        <f t="shared" si="26"/>
        <v>BANJAR BANTAS MANUKAYA</v>
      </c>
      <c r="AF29" s="34"/>
      <c r="AG29" s="41"/>
      <c r="AH29" s="41"/>
      <c r="AI29" s="80"/>
      <c r="AJ29" s="81" t="str">
        <f t="shared" si="21"/>
        <v>-</v>
      </c>
      <c r="AK29" s="98" t="s">
        <v>108</v>
      </c>
      <c r="AL29" s="82" t="s">
        <v>77</v>
      </c>
      <c r="AM29" s="34"/>
      <c r="AN29" s="34"/>
      <c r="AO29" s="34"/>
      <c r="AP29" s="34"/>
      <c r="AQ29" s="26"/>
      <c r="AR29" s="39" t="s">
        <v>78</v>
      </c>
      <c r="AS29" s="39" t="str">
        <f t="shared" si="22"/>
        <v>DPS.100.2701</v>
      </c>
      <c r="AT29" s="41"/>
      <c r="AU29" s="39" t="str">
        <f t="shared" si="23"/>
        <v>DPS.100.2701.BRBNTS.043</v>
      </c>
      <c r="AV29" s="83" t="s">
        <v>83</v>
      </c>
      <c r="AW29" s="60"/>
      <c r="AX29" s="100">
        <v>-8.4010599999999993</v>
      </c>
      <c r="AY29" s="100">
        <v>115.31783</v>
      </c>
      <c r="AZ29" s="52"/>
      <c r="BA29" s="39"/>
      <c r="BB29" s="39"/>
      <c r="BC29" s="39"/>
      <c r="BD29" s="39"/>
      <c r="BE29" s="39"/>
      <c r="BF29" s="39"/>
      <c r="BG29" s="39"/>
      <c r="BH29" s="39"/>
      <c r="BI29" s="39"/>
      <c r="BJ29" s="84"/>
    </row>
    <row r="30" spans="1:62" s="110" customFormat="1" ht="18" customHeight="1" x14ac:dyDescent="0.25">
      <c r="A30" s="62"/>
      <c r="B30" s="62"/>
      <c r="C30" s="62"/>
      <c r="D30" s="62"/>
      <c r="E30" s="62"/>
      <c r="F30" s="89"/>
      <c r="G30" s="89"/>
      <c r="H30" s="77">
        <v>6</v>
      </c>
      <c r="I30" s="31" t="str">
        <f t="shared" si="36"/>
        <v>MR.BRBNTS.P005</v>
      </c>
      <c r="J30" s="31" t="str">
        <f t="shared" si="37"/>
        <v xml:space="preserve"> -8.401108°</v>
      </c>
      <c r="K30" s="31" t="str">
        <f t="shared" si="38"/>
        <v>115.317761°</v>
      </c>
      <c r="L30" s="32" t="str">
        <f t="shared" si="39"/>
        <v>JALAN BANJAR BANTAS MANUKAYA</v>
      </c>
      <c r="M30" s="31" t="str">
        <f t="shared" si="7"/>
        <v>BALI</v>
      </c>
      <c r="N30" s="31" t="str">
        <f t="shared" si="8"/>
        <v>DENPASAR</v>
      </c>
      <c r="O30" s="31" t="str">
        <f t="shared" si="9"/>
        <v>TAMPAKSIRING</v>
      </c>
      <c r="P30" s="31" t="str">
        <f t="shared" si="10"/>
        <v>MANUKAYA</v>
      </c>
      <c r="Q30" s="31">
        <f t="shared" si="11"/>
        <v>80552</v>
      </c>
      <c r="R30" s="31" t="str">
        <f t="shared" si="12"/>
        <v>-</v>
      </c>
      <c r="S30" s="31" t="str">
        <f t="shared" si="13"/>
        <v>-</v>
      </c>
      <c r="T30" s="31" t="str">
        <f t="shared" si="14"/>
        <v>-</v>
      </c>
      <c r="U30" s="31" t="str">
        <f t="shared" si="15"/>
        <v>FTTH</v>
      </c>
      <c r="V30" s="31" t="str">
        <f t="shared" si="16"/>
        <v>-</v>
      </c>
      <c r="W30" s="31" t="str">
        <f t="shared" si="17"/>
        <v>General Retail</v>
      </c>
      <c r="X30" s="31" t="str">
        <f t="shared" si="2"/>
        <v>-</v>
      </c>
      <c r="Y30" s="78"/>
      <c r="Z30" s="79" t="str">
        <f t="shared" si="18"/>
        <v>BANJAR BANTAS MANUKAYA BALI</v>
      </c>
      <c r="AA30" s="79" t="str">
        <f t="shared" si="19"/>
        <v>BANJAR BANTAS MANUKAYA BALI</v>
      </c>
      <c r="AB30" s="26" t="str">
        <f t="shared" si="24"/>
        <v>-</v>
      </c>
      <c r="AC30" s="26" t="str">
        <f t="shared" si="25"/>
        <v>-</v>
      </c>
      <c r="AD30" s="39" t="str">
        <f t="shared" si="20"/>
        <v xml:space="preserve">JALAN </v>
      </c>
      <c r="AE30" s="32" t="str">
        <f t="shared" si="26"/>
        <v>BANJAR BANTAS MANUKAYA</v>
      </c>
      <c r="AF30" s="34"/>
      <c r="AG30" s="41"/>
      <c r="AH30" s="41"/>
      <c r="AI30" s="80"/>
      <c r="AJ30" s="81" t="str">
        <f t="shared" si="21"/>
        <v>-</v>
      </c>
      <c r="AK30" s="98" t="s">
        <v>116</v>
      </c>
      <c r="AL30" s="82" t="s">
        <v>77</v>
      </c>
      <c r="AM30" s="34"/>
      <c r="AN30" s="34"/>
      <c r="AO30" s="34"/>
      <c r="AP30" s="34"/>
      <c r="AQ30" s="26"/>
      <c r="AR30" s="39" t="s">
        <v>78</v>
      </c>
      <c r="AS30" s="39" t="str">
        <f t="shared" si="22"/>
        <v>DPS.100.2701</v>
      </c>
      <c r="AT30" s="41"/>
      <c r="AU30" s="39" t="str">
        <f t="shared" si="23"/>
        <v>DPS.100.2701.BRBNTS.043</v>
      </c>
      <c r="AV30" s="83" t="s">
        <v>83</v>
      </c>
      <c r="AW30" s="60"/>
      <c r="AX30" s="100">
        <v>-8.4015869999999993</v>
      </c>
      <c r="AY30" s="100">
        <v>115.31767000000001</v>
      </c>
      <c r="AZ30" s="52"/>
      <c r="BA30" s="39"/>
      <c r="BB30" s="39"/>
      <c r="BC30" s="39"/>
      <c r="BD30" s="39"/>
      <c r="BE30" s="39"/>
      <c r="BF30" s="39"/>
      <c r="BG30" s="39"/>
      <c r="BH30" s="39"/>
      <c r="BI30" s="39"/>
      <c r="BJ30" s="84"/>
    </row>
    <row r="31" spans="1:62" s="110" customFormat="1" ht="18" customHeight="1" x14ac:dyDescent="0.25">
      <c r="A31" s="62"/>
      <c r="B31" s="62"/>
      <c r="C31" s="62"/>
      <c r="D31" s="62"/>
      <c r="E31" s="62"/>
      <c r="F31" s="90"/>
      <c r="G31" s="107"/>
      <c r="H31" s="77">
        <v>7</v>
      </c>
      <c r="I31" s="31" t="str">
        <f t="shared" si="36"/>
        <v>MR.BRBNTS.P005</v>
      </c>
      <c r="J31" s="31" t="str">
        <f t="shared" si="37"/>
        <v xml:space="preserve"> -8.401108°</v>
      </c>
      <c r="K31" s="31" t="str">
        <f t="shared" si="38"/>
        <v>115.317761°</v>
      </c>
      <c r="L31" s="32" t="str">
        <f t="shared" si="39"/>
        <v>JALAN BANJAR BANTAS MANUKAYA</v>
      </c>
      <c r="M31" s="31" t="str">
        <f t="shared" si="7"/>
        <v>BALI</v>
      </c>
      <c r="N31" s="31" t="str">
        <f t="shared" si="8"/>
        <v>DENPASAR</v>
      </c>
      <c r="O31" s="31" t="str">
        <f t="shared" si="9"/>
        <v>TAMPAKSIRING</v>
      </c>
      <c r="P31" s="31" t="str">
        <f t="shared" si="10"/>
        <v>MANUKAYA</v>
      </c>
      <c r="Q31" s="31">
        <f t="shared" si="11"/>
        <v>80552</v>
      </c>
      <c r="R31" s="31" t="str">
        <f t="shared" si="12"/>
        <v>-</v>
      </c>
      <c r="S31" s="31" t="str">
        <f t="shared" si="13"/>
        <v>-</v>
      </c>
      <c r="T31" s="31" t="str">
        <f t="shared" si="14"/>
        <v>-</v>
      </c>
      <c r="U31" s="31" t="str">
        <f t="shared" si="15"/>
        <v>FTTH</v>
      </c>
      <c r="V31" s="31" t="str">
        <f t="shared" si="16"/>
        <v>-</v>
      </c>
      <c r="W31" s="31" t="str">
        <f t="shared" si="17"/>
        <v>General Retail</v>
      </c>
      <c r="X31" s="31" t="str">
        <f t="shared" si="2"/>
        <v>-</v>
      </c>
      <c r="Y31" s="78"/>
      <c r="Z31" s="79" t="str">
        <f t="shared" si="18"/>
        <v>BANJAR BANTAS MANUKAYA BALI</v>
      </c>
      <c r="AA31" s="79" t="str">
        <f t="shared" si="19"/>
        <v>BANJAR BANTAS MANUKAYA BALI</v>
      </c>
      <c r="AB31" s="26" t="str">
        <f t="shared" si="24"/>
        <v>-</v>
      </c>
      <c r="AC31" s="26" t="str">
        <f t="shared" si="25"/>
        <v>-</v>
      </c>
      <c r="AD31" s="39" t="str">
        <f t="shared" si="20"/>
        <v xml:space="preserve">JALAN </v>
      </c>
      <c r="AE31" s="32" t="str">
        <f t="shared" si="26"/>
        <v>BANJAR BANTAS MANUKAYA</v>
      </c>
      <c r="AF31" s="34"/>
      <c r="AG31" s="41"/>
      <c r="AH31" s="41"/>
      <c r="AI31" s="80"/>
      <c r="AJ31" s="81" t="str">
        <f t="shared" si="21"/>
        <v>-</v>
      </c>
      <c r="AK31" s="98" t="s">
        <v>117</v>
      </c>
      <c r="AL31" s="82" t="s">
        <v>77</v>
      </c>
      <c r="AM31" s="34"/>
      <c r="AN31" s="34"/>
      <c r="AO31" s="34"/>
      <c r="AP31" s="34"/>
      <c r="AQ31" s="26"/>
      <c r="AR31" s="39" t="s">
        <v>78</v>
      </c>
      <c r="AS31" s="39" t="str">
        <f t="shared" si="22"/>
        <v>DPS.100.2701</v>
      </c>
      <c r="AT31" s="41"/>
      <c r="AU31" s="39" t="str">
        <f t="shared" si="23"/>
        <v>DPS.100.2701.BRBNTS.043</v>
      </c>
      <c r="AV31" s="83" t="s">
        <v>83</v>
      </c>
      <c r="AW31" s="60"/>
      <c r="AX31" s="100">
        <v>-8.4016839999999995</v>
      </c>
      <c r="AY31" s="100">
        <v>115.31761400000001</v>
      </c>
      <c r="AZ31" s="52"/>
      <c r="BA31" s="39"/>
      <c r="BB31" s="39"/>
      <c r="BC31" s="39"/>
      <c r="BD31" s="39"/>
      <c r="BE31" s="39"/>
      <c r="BF31" s="39"/>
      <c r="BG31" s="39"/>
      <c r="BH31" s="39"/>
      <c r="BI31" s="39"/>
      <c r="BJ31" s="84"/>
    </row>
    <row r="32" spans="1:62" s="110" customFormat="1" ht="18" customHeight="1" x14ac:dyDescent="0.25">
      <c r="A32" s="62"/>
      <c r="B32" s="62"/>
      <c r="C32" s="62"/>
      <c r="D32" s="62"/>
      <c r="E32" s="62"/>
      <c r="F32" s="90"/>
      <c r="G32" s="107"/>
      <c r="H32" s="77">
        <v>8</v>
      </c>
      <c r="I32" s="31" t="str">
        <f t="shared" si="36"/>
        <v>MR.BRBNTS.P005</v>
      </c>
      <c r="J32" s="31" t="str">
        <f t="shared" si="37"/>
        <v xml:space="preserve"> -8.401108°</v>
      </c>
      <c r="K32" s="31" t="str">
        <f t="shared" si="38"/>
        <v>115.317761°</v>
      </c>
      <c r="L32" s="32" t="str">
        <f t="shared" si="39"/>
        <v>JALAN BANJAR BANTAS MANUKAYA</v>
      </c>
      <c r="M32" s="31" t="str">
        <f t="shared" si="7"/>
        <v>BALI</v>
      </c>
      <c r="N32" s="31" t="str">
        <f t="shared" si="8"/>
        <v>DENPASAR</v>
      </c>
      <c r="O32" s="31" t="str">
        <f t="shared" si="9"/>
        <v>TAMPAKSIRING</v>
      </c>
      <c r="P32" s="31" t="str">
        <f t="shared" si="10"/>
        <v>MANUKAYA</v>
      </c>
      <c r="Q32" s="31">
        <f t="shared" si="11"/>
        <v>80552</v>
      </c>
      <c r="R32" s="31" t="str">
        <f t="shared" si="12"/>
        <v>-</v>
      </c>
      <c r="S32" s="31" t="str">
        <f t="shared" si="13"/>
        <v>-</v>
      </c>
      <c r="T32" s="31" t="str">
        <f t="shared" si="14"/>
        <v>-</v>
      </c>
      <c r="U32" s="31" t="str">
        <f t="shared" si="15"/>
        <v>FTTH</v>
      </c>
      <c r="V32" s="31" t="str">
        <f t="shared" si="16"/>
        <v>-</v>
      </c>
      <c r="W32" s="31" t="str">
        <f t="shared" si="17"/>
        <v>General Retail</v>
      </c>
      <c r="X32" s="31" t="str">
        <f t="shared" si="2"/>
        <v>-</v>
      </c>
      <c r="Y32" s="78"/>
      <c r="Z32" s="79" t="str">
        <f t="shared" si="18"/>
        <v>BANJAR BANTAS MANUKAYA BALI</v>
      </c>
      <c r="AA32" s="79" t="str">
        <f t="shared" si="19"/>
        <v>BANJAR BANTAS MANUKAYA BALI</v>
      </c>
      <c r="AB32" s="26" t="str">
        <f t="shared" si="24"/>
        <v>-</v>
      </c>
      <c r="AC32" s="26" t="str">
        <f t="shared" si="25"/>
        <v>-</v>
      </c>
      <c r="AD32" s="39" t="str">
        <f t="shared" si="20"/>
        <v xml:space="preserve">JALAN </v>
      </c>
      <c r="AE32" s="32" t="str">
        <f t="shared" si="26"/>
        <v>BANJAR BANTAS MANUKAYA</v>
      </c>
      <c r="AF32" s="34"/>
      <c r="AG32" s="41"/>
      <c r="AH32" s="41"/>
      <c r="AI32" s="80"/>
      <c r="AJ32" s="81" t="str">
        <f t="shared" si="21"/>
        <v>-</v>
      </c>
      <c r="AK32" s="98" t="s">
        <v>118</v>
      </c>
      <c r="AL32" s="82" t="s">
        <v>77</v>
      </c>
      <c r="AM32" s="34"/>
      <c r="AN32" s="34"/>
      <c r="AO32" s="34"/>
      <c r="AP32" s="34"/>
      <c r="AQ32" s="26"/>
      <c r="AR32" s="39" t="s">
        <v>78</v>
      </c>
      <c r="AS32" s="39" t="str">
        <f t="shared" si="22"/>
        <v>DPS.100.2701</v>
      </c>
      <c r="AT32" s="41"/>
      <c r="AU32" s="39" t="str">
        <f t="shared" si="23"/>
        <v>DPS.100.2701.BRBNTS.043</v>
      </c>
      <c r="AV32" s="83" t="s">
        <v>83</v>
      </c>
      <c r="AW32" s="60"/>
      <c r="AX32" s="100">
        <v>-8.4018270000000008</v>
      </c>
      <c r="AY32" s="100">
        <v>115.317583</v>
      </c>
      <c r="AZ32" s="52"/>
      <c r="BA32" s="39"/>
      <c r="BB32" s="39"/>
      <c r="BC32" s="39"/>
      <c r="BD32" s="39"/>
      <c r="BE32" s="39"/>
      <c r="BF32" s="39"/>
      <c r="BG32" s="39"/>
      <c r="BH32" s="39"/>
      <c r="BI32" s="39"/>
      <c r="BJ32" s="84"/>
    </row>
    <row r="33" spans="1:62" s="110" customFormat="1" ht="18" customHeight="1" x14ac:dyDescent="0.25">
      <c r="A33" s="62"/>
      <c r="B33" s="62"/>
      <c r="C33" s="62"/>
      <c r="D33" s="62"/>
      <c r="E33" s="62"/>
      <c r="F33" s="89"/>
      <c r="G33" s="89"/>
      <c r="H33" s="77">
        <v>9</v>
      </c>
      <c r="I33" s="31" t="str">
        <f t="shared" si="36"/>
        <v>MR.BRBNTS.P005</v>
      </c>
      <c r="J33" s="31" t="str">
        <f t="shared" si="37"/>
        <v xml:space="preserve"> -8.401108°</v>
      </c>
      <c r="K33" s="31" t="str">
        <f t="shared" si="38"/>
        <v>115.317761°</v>
      </c>
      <c r="L33" s="32" t="str">
        <f t="shared" si="39"/>
        <v>JALAN BANJAR BANTAS MANUKAYA</v>
      </c>
      <c r="M33" s="31" t="str">
        <f t="shared" si="7"/>
        <v>BALI</v>
      </c>
      <c r="N33" s="31" t="str">
        <f t="shared" si="8"/>
        <v>DENPASAR</v>
      </c>
      <c r="O33" s="31" t="str">
        <f t="shared" si="9"/>
        <v>TAMPAKSIRING</v>
      </c>
      <c r="P33" s="31" t="str">
        <f t="shared" si="10"/>
        <v>MANUKAYA</v>
      </c>
      <c r="Q33" s="31">
        <f t="shared" si="11"/>
        <v>80552</v>
      </c>
      <c r="R33" s="31" t="str">
        <f t="shared" si="12"/>
        <v>-</v>
      </c>
      <c r="S33" s="31" t="str">
        <f t="shared" si="13"/>
        <v>-</v>
      </c>
      <c r="T33" s="31" t="str">
        <f t="shared" si="14"/>
        <v>-</v>
      </c>
      <c r="U33" s="31" t="str">
        <f t="shared" si="15"/>
        <v>FTTH</v>
      </c>
      <c r="V33" s="31" t="str">
        <f t="shared" si="16"/>
        <v>-</v>
      </c>
      <c r="W33" s="31" t="str">
        <f t="shared" si="17"/>
        <v>General Retail</v>
      </c>
      <c r="X33" s="31" t="str">
        <f t="shared" si="2"/>
        <v>-</v>
      </c>
      <c r="Y33" s="78"/>
      <c r="Z33" s="79" t="str">
        <f t="shared" si="18"/>
        <v>BANJAR BANTAS MANUKAYA BALI</v>
      </c>
      <c r="AA33" s="79" t="str">
        <f t="shared" si="19"/>
        <v>BANJAR BANTAS MANUKAYA BALI</v>
      </c>
      <c r="AB33" s="26" t="str">
        <f t="shared" si="24"/>
        <v>-</v>
      </c>
      <c r="AC33" s="26" t="str">
        <f t="shared" si="25"/>
        <v>-</v>
      </c>
      <c r="AD33" s="39" t="str">
        <f t="shared" si="20"/>
        <v xml:space="preserve">JALAN </v>
      </c>
      <c r="AE33" s="32" t="str">
        <f t="shared" si="26"/>
        <v>BANJAR BANTAS MANUKAYA</v>
      </c>
      <c r="AF33" s="34"/>
      <c r="AG33" s="41"/>
      <c r="AH33" s="41"/>
      <c r="AI33" s="80"/>
      <c r="AJ33" s="81" t="str">
        <f t="shared" si="21"/>
        <v>-</v>
      </c>
      <c r="AK33" s="98" t="s">
        <v>119</v>
      </c>
      <c r="AL33" s="82" t="s">
        <v>77</v>
      </c>
      <c r="AM33" s="34"/>
      <c r="AN33" s="34"/>
      <c r="AO33" s="34"/>
      <c r="AP33" s="34"/>
      <c r="AQ33" s="26"/>
      <c r="AR33" s="39" t="s">
        <v>78</v>
      </c>
      <c r="AS33" s="39" t="str">
        <f t="shared" si="22"/>
        <v>DPS.100.2701</v>
      </c>
      <c r="AT33" s="41"/>
      <c r="AU33" s="39" t="str">
        <f t="shared" si="23"/>
        <v>DPS.100.2701.BRBNTS.043</v>
      </c>
      <c r="AV33" s="83" t="s">
        <v>83</v>
      </c>
      <c r="AW33" s="60"/>
      <c r="AX33" s="100">
        <v>-8.4018899999999999</v>
      </c>
      <c r="AY33" s="100">
        <v>115.317548</v>
      </c>
      <c r="AZ33" s="52"/>
      <c r="BA33" s="39"/>
      <c r="BB33" s="39"/>
      <c r="BC33" s="39"/>
      <c r="BD33" s="39"/>
      <c r="BE33" s="39"/>
      <c r="BF33" s="39"/>
      <c r="BG33" s="39"/>
      <c r="BH33" s="39"/>
      <c r="BI33" s="39"/>
      <c r="BJ33" s="84"/>
    </row>
    <row r="34" spans="1:62" s="110" customFormat="1" ht="18" customHeight="1" x14ac:dyDescent="0.25">
      <c r="A34" s="62"/>
      <c r="B34" s="62"/>
      <c r="C34" s="62"/>
      <c r="D34" s="62"/>
      <c r="E34" s="62"/>
      <c r="F34" s="89"/>
      <c r="G34" s="89"/>
      <c r="H34" s="77">
        <v>10</v>
      </c>
      <c r="I34" s="31" t="str">
        <f t="shared" si="36"/>
        <v>MR.BRBNTS.P005</v>
      </c>
      <c r="J34" s="31" t="str">
        <f t="shared" si="37"/>
        <v xml:space="preserve"> -8.401108°</v>
      </c>
      <c r="K34" s="31" t="str">
        <f t="shared" si="38"/>
        <v>115.317761°</v>
      </c>
      <c r="L34" s="32" t="str">
        <f t="shared" si="39"/>
        <v>JALAN BANJAR BANTAS MANUKAYA</v>
      </c>
      <c r="M34" s="31" t="str">
        <f t="shared" si="7"/>
        <v>BALI</v>
      </c>
      <c r="N34" s="31" t="str">
        <f t="shared" si="8"/>
        <v>DENPASAR</v>
      </c>
      <c r="O34" s="31" t="str">
        <f t="shared" si="9"/>
        <v>TAMPAKSIRING</v>
      </c>
      <c r="P34" s="31" t="str">
        <f t="shared" si="10"/>
        <v>MANUKAYA</v>
      </c>
      <c r="Q34" s="31">
        <f t="shared" si="11"/>
        <v>80552</v>
      </c>
      <c r="R34" s="31" t="str">
        <f t="shared" si="12"/>
        <v>-</v>
      </c>
      <c r="S34" s="31" t="str">
        <f t="shared" si="13"/>
        <v>-</v>
      </c>
      <c r="T34" s="31" t="str">
        <f t="shared" si="14"/>
        <v>-</v>
      </c>
      <c r="U34" s="31" t="str">
        <f t="shared" si="15"/>
        <v>FTTH</v>
      </c>
      <c r="V34" s="31" t="str">
        <f t="shared" si="16"/>
        <v>-</v>
      </c>
      <c r="W34" s="31" t="str">
        <f t="shared" si="17"/>
        <v>General Retail</v>
      </c>
      <c r="X34" s="31" t="str">
        <f t="shared" si="2"/>
        <v>-</v>
      </c>
      <c r="Y34" s="78"/>
      <c r="Z34" s="79" t="str">
        <f t="shared" si="18"/>
        <v>BANJAR BANTAS MANUKAYA BALI</v>
      </c>
      <c r="AA34" s="79" t="str">
        <f t="shared" si="19"/>
        <v>BANJAR BANTAS MANUKAYA BALI</v>
      </c>
      <c r="AB34" s="26" t="str">
        <f t="shared" si="24"/>
        <v>-</v>
      </c>
      <c r="AC34" s="26" t="str">
        <f t="shared" si="25"/>
        <v>-</v>
      </c>
      <c r="AD34" s="39" t="str">
        <f t="shared" si="20"/>
        <v xml:space="preserve">JALAN </v>
      </c>
      <c r="AE34" s="32" t="str">
        <f t="shared" si="26"/>
        <v>BANJAR BANTAS MANUKAYA</v>
      </c>
      <c r="AF34" s="34"/>
      <c r="AG34" s="41"/>
      <c r="AH34" s="41"/>
      <c r="AI34" s="80"/>
      <c r="AJ34" s="81" t="str">
        <f t="shared" si="21"/>
        <v>-</v>
      </c>
      <c r="AK34" s="98" t="s">
        <v>120</v>
      </c>
      <c r="AL34" s="82" t="s">
        <v>77</v>
      </c>
      <c r="AM34" s="34"/>
      <c r="AN34" s="34"/>
      <c r="AO34" s="34"/>
      <c r="AP34" s="34"/>
      <c r="AQ34" s="26"/>
      <c r="AR34" s="39" t="s">
        <v>78</v>
      </c>
      <c r="AS34" s="39" t="str">
        <f t="shared" si="22"/>
        <v>DPS.100.2701</v>
      </c>
      <c r="AT34" s="41"/>
      <c r="AU34" s="39" t="str">
        <f t="shared" si="23"/>
        <v>DPS.100.2701.BRBNTS.043</v>
      </c>
      <c r="AV34" s="83" t="s">
        <v>83</v>
      </c>
      <c r="AW34" s="60"/>
      <c r="AX34" s="100">
        <v>-8.4019770000000005</v>
      </c>
      <c r="AY34" s="100">
        <v>115.317595</v>
      </c>
      <c r="AZ34" s="52"/>
      <c r="BA34" s="39"/>
      <c r="BB34" s="39"/>
      <c r="BC34" s="39"/>
      <c r="BD34" s="39"/>
      <c r="BE34" s="39"/>
      <c r="BF34" s="39"/>
      <c r="BG34" s="39"/>
      <c r="BH34" s="39"/>
      <c r="BI34" s="39"/>
      <c r="BJ34" s="84"/>
    </row>
    <row r="35" spans="1:62" s="110" customFormat="1" ht="18" customHeight="1" x14ac:dyDescent="0.25">
      <c r="A35" s="62"/>
      <c r="B35" s="62"/>
      <c r="C35" s="62"/>
      <c r="D35" s="62"/>
      <c r="E35" s="62"/>
      <c r="F35" s="89"/>
      <c r="G35" s="89"/>
      <c r="H35" s="77">
        <v>11</v>
      </c>
      <c r="I35" s="31" t="str">
        <f t="shared" si="36"/>
        <v>MR.BRBNTS.P005</v>
      </c>
      <c r="J35" s="31" t="str">
        <f t="shared" si="37"/>
        <v xml:space="preserve"> -8.401108°</v>
      </c>
      <c r="K35" s="31" t="str">
        <f t="shared" si="38"/>
        <v>115.317761°</v>
      </c>
      <c r="L35" s="32" t="str">
        <f t="shared" si="39"/>
        <v>JALAN BANJAR BANTAS MANUKAYA</v>
      </c>
      <c r="M35" s="31" t="str">
        <f t="shared" si="7"/>
        <v>BALI</v>
      </c>
      <c r="N35" s="31" t="str">
        <f t="shared" si="8"/>
        <v>DENPASAR</v>
      </c>
      <c r="O35" s="31" t="str">
        <f t="shared" si="9"/>
        <v>TAMPAKSIRING</v>
      </c>
      <c r="P35" s="31" t="str">
        <f t="shared" si="10"/>
        <v>MANUKAYA</v>
      </c>
      <c r="Q35" s="31">
        <f t="shared" si="11"/>
        <v>80552</v>
      </c>
      <c r="R35" s="31" t="str">
        <f t="shared" si="12"/>
        <v>-</v>
      </c>
      <c r="S35" s="31" t="str">
        <f t="shared" si="13"/>
        <v>-</v>
      </c>
      <c r="T35" s="31" t="str">
        <f t="shared" si="14"/>
        <v>-</v>
      </c>
      <c r="U35" s="31" t="str">
        <f t="shared" si="15"/>
        <v>FTTH</v>
      </c>
      <c r="V35" s="31" t="str">
        <f t="shared" si="16"/>
        <v>-</v>
      </c>
      <c r="W35" s="31" t="str">
        <f t="shared" si="17"/>
        <v>General Retail</v>
      </c>
      <c r="X35" s="31" t="str">
        <f t="shared" si="2"/>
        <v>-</v>
      </c>
      <c r="Y35" s="78"/>
      <c r="Z35" s="79" t="str">
        <f t="shared" si="18"/>
        <v>BANJAR BANTAS MANUKAYA BALI</v>
      </c>
      <c r="AA35" s="79" t="str">
        <f t="shared" si="19"/>
        <v>BANJAR BANTAS MANUKAYA BALI</v>
      </c>
      <c r="AB35" s="26" t="str">
        <f t="shared" si="24"/>
        <v>-</v>
      </c>
      <c r="AC35" s="26" t="str">
        <f t="shared" si="25"/>
        <v>-</v>
      </c>
      <c r="AD35" s="39" t="str">
        <f t="shared" si="20"/>
        <v xml:space="preserve">JALAN </v>
      </c>
      <c r="AE35" s="32" t="str">
        <f t="shared" si="26"/>
        <v>BANJAR BANTAS MANUKAYA</v>
      </c>
      <c r="AF35" s="34"/>
      <c r="AG35" s="41"/>
      <c r="AH35" s="41"/>
      <c r="AI35" s="80"/>
      <c r="AJ35" s="81" t="str">
        <f t="shared" si="21"/>
        <v>-</v>
      </c>
      <c r="AK35" s="98" t="s">
        <v>121</v>
      </c>
      <c r="AL35" s="82" t="s">
        <v>77</v>
      </c>
      <c r="AM35" s="34"/>
      <c r="AN35" s="34"/>
      <c r="AO35" s="34"/>
      <c r="AP35" s="34"/>
      <c r="AQ35" s="26"/>
      <c r="AR35" s="39" t="s">
        <v>78</v>
      </c>
      <c r="AS35" s="39" t="str">
        <f t="shared" si="22"/>
        <v>DPS.100.2701</v>
      </c>
      <c r="AT35" s="41"/>
      <c r="AU35" s="39" t="str">
        <f t="shared" si="23"/>
        <v>DPS.100.2701.BRBNTS.043</v>
      </c>
      <c r="AV35" s="83" t="s">
        <v>83</v>
      </c>
      <c r="AW35" s="60"/>
      <c r="AX35" s="100">
        <v>-8.4020189999999992</v>
      </c>
      <c r="AY35" s="100">
        <v>115.317525</v>
      </c>
      <c r="AZ35" s="52"/>
      <c r="BA35" s="39"/>
      <c r="BB35" s="39"/>
      <c r="BC35" s="39"/>
      <c r="BD35" s="39"/>
      <c r="BE35" s="39"/>
      <c r="BF35" s="39"/>
      <c r="BG35" s="39"/>
      <c r="BH35" s="39"/>
      <c r="BI35" s="39"/>
      <c r="BJ35" s="84"/>
    </row>
    <row r="36" spans="1:62" s="110" customFormat="1" ht="18" customHeight="1" x14ac:dyDescent="0.25">
      <c r="A36" s="62"/>
      <c r="B36" s="62"/>
      <c r="C36" s="62"/>
      <c r="D36" s="62"/>
      <c r="E36" s="62"/>
      <c r="F36" s="89"/>
      <c r="G36" s="89"/>
      <c r="H36" s="77">
        <v>12</v>
      </c>
      <c r="I36" s="31" t="str">
        <f t="shared" si="36"/>
        <v>MR.BRBNTS.P005</v>
      </c>
      <c r="J36" s="31" t="str">
        <f t="shared" si="37"/>
        <v xml:space="preserve"> -8.401108°</v>
      </c>
      <c r="K36" s="31" t="str">
        <f t="shared" si="38"/>
        <v>115.317761°</v>
      </c>
      <c r="L36" s="32" t="str">
        <f t="shared" si="39"/>
        <v>JALAN BANJAR BANTAS MANUKAYA</v>
      </c>
      <c r="M36" s="31" t="str">
        <f t="shared" si="7"/>
        <v>BALI</v>
      </c>
      <c r="N36" s="31" t="str">
        <f t="shared" si="8"/>
        <v>DENPASAR</v>
      </c>
      <c r="O36" s="31" t="str">
        <f t="shared" si="9"/>
        <v>TAMPAKSIRING</v>
      </c>
      <c r="P36" s="31" t="str">
        <f t="shared" si="10"/>
        <v>MANUKAYA</v>
      </c>
      <c r="Q36" s="31">
        <f t="shared" si="11"/>
        <v>80552</v>
      </c>
      <c r="R36" s="31" t="str">
        <f t="shared" si="12"/>
        <v>-</v>
      </c>
      <c r="S36" s="31" t="str">
        <f t="shared" si="13"/>
        <v>-</v>
      </c>
      <c r="T36" s="31" t="str">
        <f t="shared" si="14"/>
        <v>-</v>
      </c>
      <c r="U36" s="31" t="str">
        <f t="shared" si="15"/>
        <v>FTTH</v>
      </c>
      <c r="V36" s="31" t="str">
        <f t="shared" si="16"/>
        <v>-</v>
      </c>
      <c r="W36" s="31" t="str">
        <f t="shared" si="17"/>
        <v>General Retail</v>
      </c>
      <c r="X36" s="31" t="str">
        <f t="shared" si="2"/>
        <v>-</v>
      </c>
      <c r="Y36" s="78"/>
      <c r="Z36" s="79" t="str">
        <f t="shared" si="18"/>
        <v>BANJAR BANTAS MANUKAYA BALI</v>
      </c>
      <c r="AA36" s="79" t="str">
        <f t="shared" si="19"/>
        <v>BANJAR BANTAS MANUKAYA BALI</v>
      </c>
      <c r="AB36" s="26" t="str">
        <f t="shared" si="24"/>
        <v>-</v>
      </c>
      <c r="AC36" s="26" t="str">
        <f t="shared" si="25"/>
        <v>-</v>
      </c>
      <c r="AD36" s="39" t="str">
        <f t="shared" si="20"/>
        <v xml:space="preserve">JALAN </v>
      </c>
      <c r="AE36" s="32" t="str">
        <f t="shared" si="26"/>
        <v>BANJAR BANTAS MANUKAYA</v>
      </c>
      <c r="AF36" s="34"/>
      <c r="AG36" s="41"/>
      <c r="AH36" s="41"/>
      <c r="AI36" s="80"/>
      <c r="AJ36" s="81" t="str">
        <f t="shared" si="21"/>
        <v>-</v>
      </c>
      <c r="AK36" s="98" t="s">
        <v>96</v>
      </c>
      <c r="AL36" s="82" t="s">
        <v>77</v>
      </c>
      <c r="AM36" s="34"/>
      <c r="AN36" s="34"/>
      <c r="AO36" s="34"/>
      <c r="AP36" s="34"/>
      <c r="AQ36" s="26"/>
      <c r="AR36" s="39" t="s">
        <v>78</v>
      </c>
      <c r="AS36" s="39" t="str">
        <f t="shared" si="22"/>
        <v>DPS.100.2701</v>
      </c>
      <c r="AT36" s="41"/>
      <c r="AU36" s="39" t="str">
        <f t="shared" si="23"/>
        <v>DPS.100.2701.BRBNTS.043</v>
      </c>
      <c r="AV36" s="83" t="s">
        <v>84</v>
      </c>
      <c r="AW36" s="60"/>
      <c r="AX36" s="100">
        <v>-8.4012250000000002</v>
      </c>
      <c r="AY36" s="100">
        <v>115.317475</v>
      </c>
      <c r="AZ36" s="52"/>
      <c r="BA36" s="39"/>
      <c r="BB36" s="39"/>
      <c r="BC36" s="39"/>
      <c r="BD36" s="39"/>
      <c r="BE36" s="39"/>
      <c r="BF36" s="39"/>
      <c r="BG36" s="39"/>
      <c r="BH36" s="39"/>
      <c r="BI36" s="39"/>
      <c r="BJ36" s="84"/>
    </row>
    <row r="37" spans="1:62" s="110" customFormat="1" ht="18" customHeight="1" x14ac:dyDescent="0.25">
      <c r="A37" s="62"/>
      <c r="B37" s="62"/>
      <c r="C37" s="62"/>
      <c r="D37" s="62"/>
      <c r="E37" s="62"/>
      <c r="F37" s="89"/>
      <c r="G37" s="89"/>
      <c r="H37" s="77">
        <v>13</v>
      </c>
      <c r="I37" s="31" t="str">
        <f t="shared" ref="I37:K39" si="40">I34</f>
        <v>MR.BRBNTS.P005</v>
      </c>
      <c r="J37" s="31" t="str">
        <f t="shared" si="40"/>
        <v xml:space="preserve"> -8.401108°</v>
      </c>
      <c r="K37" s="31" t="str">
        <f t="shared" si="40"/>
        <v>115.317761°</v>
      </c>
      <c r="L37" s="32" t="str">
        <f t="shared" si="39"/>
        <v>JALAN BANJAR BANTAS MANUKAYA</v>
      </c>
      <c r="M37" s="31" t="str">
        <f t="shared" ref="M37:W37" si="41">M34</f>
        <v>BALI</v>
      </c>
      <c r="N37" s="31" t="str">
        <f t="shared" si="41"/>
        <v>DENPASAR</v>
      </c>
      <c r="O37" s="31" t="str">
        <f t="shared" si="41"/>
        <v>TAMPAKSIRING</v>
      </c>
      <c r="P37" s="31" t="str">
        <f t="shared" si="41"/>
        <v>MANUKAYA</v>
      </c>
      <c r="Q37" s="31">
        <f t="shared" si="41"/>
        <v>80552</v>
      </c>
      <c r="R37" s="31" t="str">
        <f t="shared" si="41"/>
        <v>-</v>
      </c>
      <c r="S37" s="31" t="str">
        <f t="shared" si="41"/>
        <v>-</v>
      </c>
      <c r="T37" s="31" t="str">
        <f t="shared" si="41"/>
        <v>-</v>
      </c>
      <c r="U37" s="31" t="str">
        <f t="shared" si="41"/>
        <v>FTTH</v>
      </c>
      <c r="V37" s="31" t="str">
        <f t="shared" si="41"/>
        <v>-</v>
      </c>
      <c r="W37" s="31" t="str">
        <f t="shared" si="41"/>
        <v>General Retail</v>
      </c>
      <c r="X37" s="31" t="str">
        <f t="shared" ref="X37" si="42">X34</f>
        <v>-</v>
      </c>
      <c r="Y37" s="78"/>
      <c r="Z37" s="79" t="str">
        <f t="shared" ref="Z37:AA39" si="43">Z34</f>
        <v>BANJAR BANTAS MANUKAYA BALI</v>
      </c>
      <c r="AA37" s="79" t="str">
        <f t="shared" si="43"/>
        <v>BANJAR BANTAS MANUKAYA BALI</v>
      </c>
      <c r="AB37" s="26" t="str">
        <f t="shared" si="24"/>
        <v>-</v>
      </c>
      <c r="AC37" s="26" t="str">
        <f t="shared" si="25"/>
        <v>-</v>
      </c>
      <c r="AD37" s="39" t="str">
        <f>AD34</f>
        <v xml:space="preserve">JALAN </v>
      </c>
      <c r="AE37" s="32" t="str">
        <f t="shared" si="26"/>
        <v>BANJAR BANTAS MANUKAYA</v>
      </c>
      <c r="AF37" s="34"/>
      <c r="AG37" s="41"/>
      <c r="AH37" s="41"/>
      <c r="AI37" s="80"/>
      <c r="AJ37" s="81" t="str">
        <f t="shared" si="21"/>
        <v>-</v>
      </c>
      <c r="AK37" s="98" t="s">
        <v>115</v>
      </c>
      <c r="AL37" s="82" t="s">
        <v>77</v>
      </c>
      <c r="AM37" s="34"/>
      <c r="AN37" s="34"/>
      <c r="AO37" s="34"/>
      <c r="AP37" s="34"/>
      <c r="AQ37" s="26"/>
      <c r="AR37" s="39" t="s">
        <v>78</v>
      </c>
      <c r="AS37" s="39" t="str">
        <f>AS34</f>
        <v>DPS.100.2701</v>
      </c>
      <c r="AT37" s="41"/>
      <c r="AU37" s="39" t="str">
        <f>AU34</f>
        <v>DPS.100.2701.BRBNTS.043</v>
      </c>
      <c r="AV37" s="83" t="s">
        <v>85</v>
      </c>
      <c r="AW37" s="60"/>
      <c r="AX37" s="100">
        <v>-8.4014199999999999</v>
      </c>
      <c r="AY37" s="100">
        <v>115.317503</v>
      </c>
      <c r="AZ37" s="52"/>
      <c r="BA37" s="39"/>
      <c r="BB37" s="39"/>
      <c r="BC37" s="39"/>
      <c r="BD37" s="39"/>
      <c r="BE37" s="39"/>
      <c r="BF37" s="39"/>
      <c r="BG37" s="39"/>
      <c r="BH37" s="39"/>
      <c r="BI37" s="39"/>
      <c r="BJ37" s="84"/>
    </row>
    <row r="38" spans="1:62" s="110" customFormat="1" ht="18" customHeight="1" x14ac:dyDescent="0.25">
      <c r="A38" s="62"/>
      <c r="B38" s="62"/>
      <c r="C38" s="62"/>
      <c r="D38" s="62"/>
      <c r="E38" s="62"/>
      <c r="F38" s="89"/>
      <c r="G38" s="89"/>
      <c r="H38" s="77">
        <v>14</v>
      </c>
      <c r="I38" s="31" t="str">
        <f t="shared" si="40"/>
        <v>MR.BRBNTS.P005</v>
      </c>
      <c r="J38" s="31" t="str">
        <f t="shared" si="40"/>
        <v xml:space="preserve"> -8.401108°</v>
      </c>
      <c r="K38" s="31" t="str">
        <f t="shared" si="40"/>
        <v>115.317761°</v>
      </c>
      <c r="L38" s="32" t="str">
        <f t="shared" si="39"/>
        <v>JALAN BANJAR BANTAS MANUKAYA</v>
      </c>
      <c r="M38" s="31" t="str">
        <f t="shared" ref="M38:W38" si="44">M35</f>
        <v>BALI</v>
      </c>
      <c r="N38" s="31" t="str">
        <f t="shared" si="44"/>
        <v>DENPASAR</v>
      </c>
      <c r="O38" s="31" t="str">
        <f t="shared" si="44"/>
        <v>TAMPAKSIRING</v>
      </c>
      <c r="P38" s="31" t="str">
        <f t="shared" si="44"/>
        <v>MANUKAYA</v>
      </c>
      <c r="Q38" s="31">
        <f t="shared" si="44"/>
        <v>80552</v>
      </c>
      <c r="R38" s="31" t="str">
        <f t="shared" si="44"/>
        <v>-</v>
      </c>
      <c r="S38" s="31" t="str">
        <f t="shared" si="44"/>
        <v>-</v>
      </c>
      <c r="T38" s="31" t="str">
        <f t="shared" si="44"/>
        <v>-</v>
      </c>
      <c r="U38" s="31" t="str">
        <f t="shared" si="44"/>
        <v>FTTH</v>
      </c>
      <c r="V38" s="31" t="str">
        <f t="shared" si="44"/>
        <v>-</v>
      </c>
      <c r="W38" s="31" t="str">
        <f t="shared" si="44"/>
        <v>General Retail</v>
      </c>
      <c r="X38" s="31" t="str">
        <f t="shared" ref="X38" si="45">X35</f>
        <v>-</v>
      </c>
      <c r="Y38" s="78"/>
      <c r="Z38" s="79" t="str">
        <f t="shared" si="43"/>
        <v>BANJAR BANTAS MANUKAYA BALI</v>
      </c>
      <c r="AA38" s="79" t="str">
        <f t="shared" si="43"/>
        <v>BANJAR BANTAS MANUKAYA BALI</v>
      </c>
      <c r="AB38" s="26" t="str">
        <f t="shared" si="24"/>
        <v>-</v>
      </c>
      <c r="AC38" s="26" t="str">
        <f t="shared" si="25"/>
        <v>-</v>
      </c>
      <c r="AD38" s="39" t="str">
        <f>AD35</f>
        <v xml:space="preserve">JALAN </v>
      </c>
      <c r="AE38" s="32" t="str">
        <f t="shared" si="26"/>
        <v>BANJAR BANTAS MANUKAYA</v>
      </c>
      <c r="AF38" s="34"/>
      <c r="AG38" s="41"/>
      <c r="AH38" s="41"/>
      <c r="AI38" s="80"/>
      <c r="AJ38" s="81" t="str">
        <f t="shared" si="21"/>
        <v>-</v>
      </c>
      <c r="AK38" s="98" t="s">
        <v>114</v>
      </c>
      <c r="AL38" s="82" t="s">
        <v>77</v>
      </c>
      <c r="AM38" s="34"/>
      <c r="AN38" s="34"/>
      <c r="AO38" s="34"/>
      <c r="AP38" s="34"/>
      <c r="AQ38" s="26"/>
      <c r="AR38" s="39" t="s">
        <v>78</v>
      </c>
      <c r="AS38" s="39" t="str">
        <f>AS35</f>
        <v>DPS.100.2701</v>
      </c>
      <c r="AT38" s="41"/>
      <c r="AU38" s="39" t="str">
        <f>AU35</f>
        <v>DPS.100.2701.BRBNTS.043</v>
      </c>
      <c r="AV38" s="83" t="s">
        <v>85</v>
      </c>
      <c r="AW38" s="60"/>
      <c r="AX38" s="100">
        <v>-8.4016509999999993</v>
      </c>
      <c r="AY38" s="100">
        <v>115.317431</v>
      </c>
      <c r="AZ38" s="52"/>
      <c r="BA38" s="39"/>
      <c r="BB38" s="39"/>
      <c r="BC38" s="39"/>
      <c r="BD38" s="39"/>
      <c r="BE38" s="39"/>
      <c r="BF38" s="39"/>
      <c r="BG38" s="39"/>
      <c r="BH38" s="39"/>
      <c r="BI38" s="39"/>
      <c r="BJ38" s="84"/>
    </row>
    <row r="39" spans="1:62" s="110" customFormat="1" ht="18" customHeight="1" x14ac:dyDescent="0.25">
      <c r="A39" s="62"/>
      <c r="B39" s="62"/>
      <c r="C39" s="62"/>
      <c r="D39" s="62"/>
      <c r="E39" s="62"/>
      <c r="F39" s="89"/>
      <c r="G39" s="89"/>
      <c r="H39" s="77">
        <v>15</v>
      </c>
      <c r="I39" s="31" t="str">
        <f t="shared" si="40"/>
        <v>MR.BRBNTS.P005</v>
      </c>
      <c r="J39" s="31" t="str">
        <f t="shared" si="40"/>
        <v xml:space="preserve"> -8.401108°</v>
      </c>
      <c r="K39" s="31" t="str">
        <f t="shared" si="40"/>
        <v>115.317761°</v>
      </c>
      <c r="L39" s="32" t="str">
        <f t="shared" si="39"/>
        <v>JALAN BANJAR BANTAS MANUKAYA</v>
      </c>
      <c r="M39" s="31" t="str">
        <f t="shared" ref="M39:W39" si="46">M36</f>
        <v>BALI</v>
      </c>
      <c r="N39" s="31" t="str">
        <f t="shared" si="46"/>
        <v>DENPASAR</v>
      </c>
      <c r="O39" s="31" t="str">
        <f t="shared" si="46"/>
        <v>TAMPAKSIRING</v>
      </c>
      <c r="P39" s="31" t="str">
        <f t="shared" si="46"/>
        <v>MANUKAYA</v>
      </c>
      <c r="Q39" s="31">
        <f t="shared" si="46"/>
        <v>80552</v>
      </c>
      <c r="R39" s="31" t="str">
        <f t="shared" si="46"/>
        <v>-</v>
      </c>
      <c r="S39" s="31" t="str">
        <f t="shared" si="46"/>
        <v>-</v>
      </c>
      <c r="T39" s="31" t="str">
        <f t="shared" si="46"/>
        <v>-</v>
      </c>
      <c r="U39" s="31" t="str">
        <f t="shared" si="46"/>
        <v>FTTH</v>
      </c>
      <c r="V39" s="31" t="str">
        <f t="shared" si="46"/>
        <v>-</v>
      </c>
      <c r="W39" s="31" t="str">
        <f t="shared" si="46"/>
        <v>General Retail</v>
      </c>
      <c r="X39" s="31" t="str">
        <f t="shared" ref="X39" si="47">X36</f>
        <v>-</v>
      </c>
      <c r="Y39" s="78"/>
      <c r="Z39" s="79" t="str">
        <f t="shared" si="43"/>
        <v>BANJAR BANTAS MANUKAYA BALI</v>
      </c>
      <c r="AA39" s="79" t="str">
        <f t="shared" si="43"/>
        <v>BANJAR BANTAS MANUKAYA BALI</v>
      </c>
      <c r="AB39" s="26" t="str">
        <f t="shared" si="24"/>
        <v>-</v>
      </c>
      <c r="AC39" s="26" t="str">
        <f t="shared" si="25"/>
        <v>-</v>
      </c>
      <c r="AD39" s="39" t="str">
        <f>AD36</f>
        <v xml:space="preserve">JALAN </v>
      </c>
      <c r="AE39" s="32" t="str">
        <f t="shared" si="26"/>
        <v>BANJAR BANTAS MANUKAYA</v>
      </c>
      <c r="AF39" s="34"/>
      <c r="AG39" s="41"/>
      <c r="AH39" s="41"/>
      <c r="AI39" s="80"/>
      <c r="AJ39" s="81" t="str">
        <f t="shared" si="21"/>
        <v>-</v>
      </c>
      <c r="AK39" s="98" t="s">
        <v>113</v>
      </c>
      <c r="AL39" s="82" t="s">
        <v>77</v>
      </c>
      <c r="AM39" s="34"/>
      <c r="AN39" s="34"/>
      <c r="AO39" s="34"/>
      <c r="AP39" s="34"/>
      <c r="AQ39" s="26"/>
      <c r="AR39" s="39" t="s">
        <v>78</v>
      </c>
      <c r="AS39" s="39" t="str">
        <f>AS36</f>
        <v>DPS.100.2701</v>
      </c>
      <c r="AT39" s="41"/>
      <c r="AU39" s="39" t="str">
        <f>AU36</f>
        <v>DPS.100.2701.BRBNTS.043</v>
      </c>
      <c r="AV39" s="83" t="s">
        <v>85</v>
      </c>
      <c r="AW39" s="60"/>
      <c r="AX39" s="100">
        <v>-8.4018339999999991</v>
      </c>
      <c r="AY39" s="100">
        <v>115.31737800000001</v>
      </c>
      <c r="AZ39" s="52"/>
      <c r="BA39" s="39"/>
      <c r="BB39" s="39"/>
      <c r="BC39" s="39"/>
      <c r="BD39" s="39"/>
      <c r="BE39" s="39"/>
      <c r="BF39" s="39"/>
      <c r="BG39" s="39"/>
      <c r="BH39" s="39"/>
      <c r="BI39" s="39"/>
      <c r="BJ39" s="84"/>
    </row>
    <row r="40" spans="1:62" s="110" customFormat="1" ht="18" customHeight="1" x14ac:dyDescent="0.25">
      <c r="A40" s="54" t="s">
        <v>74</v>
      </c>
      <c r="B40" s="54">
        <v>5</v>
      </c>
      <c r="C40" s="54" t="s">
        <v>81</v>
      </c>
      <c r="D40" s="54" t="s">
        <v>80</v>
      </c>
      <c r="E40" s="54">
        <v>1</v>
      </c>
      <c r="F40" s="54">
        <v>5</v>
      </c>
      <c r="G40" s="106" t="s">
        <v>84</v>
      </c>
      <c r="H40" s="64">
        <v>1</v>
      </c>
      <c r="I40" s="65" t="s">
        <v>209</v>
      </c>
      <c r="J40" s="65" t="s">
        <v>210</v>
      </c>
      <c r="K40" s="65" t="s">
        <v>211</v>
      </c>
      <c r="L40" s="30" t="str">
        <f>L39</f>
        <v>JALAN BANJAR BANTAS MANUKAYA</v>
      </c>
      <c r="M40" s="65" t="str">
        <f t="shared" si="7"/>
        <v>BALI</v>
      </c>
      <c r="N40" s="65" t="str">
        <f t="shared" si="8"/>
        <v>DENPASAR</v>
      </c>
      <c r="O40" s="65" t="str">
        <f t="shared" si="9"/>
        <v>TAMPAKSIRING</v>
      </c>
      <c r="P40" s="65" t="str">
        <f t="shared" si="10"/>
        <v>MANUKAYA</v>
      </c>
      <c r="Q40" s="65">
        <f t="shared" si="11"/>
        <v>80552</v>
      </c>
      <c r="R40" s="65" t="str">
        <f t="shared" si="12"/>
        <v>-</v>
      </c>
      <c r="S40" s="65" t="str">
        <f t="shared" si="13"/>
        <v>-</v>
      </c>
      <c r="T40" s="65" t="str">
        <f t="shared" si="14"/>
        <v>-</v>
      </c>
      <c r="U40" s="65" t="str">
        <f t="shared" si="15"/>
        <v>FTTH</v>
      </c>
      <c r="V40" s="65" t="str">
        <f t="shared" si="16"/>
        <v>-</v>
      </c>
      <c r="W40" s="65" t="str">
        <f t="shared" si="17"/>
        <v>General Retail</v>
      </c>
      <c r="X40" s="65" t="str">
        <f t="shared" si="2"/>
        <v>-</v>
      </c>
      <c r="Y40" s="68"/>
      <c r="Z40" s="69" t="str">
        <f t="shared" si="18"/>
        <v>BANJAR BANTAS MANUKAYA BALI</v>
      </c>
      <c r="AA40" s="69" t="str">
        <f t="shared" si="19"/>
        <v>BANJAR BANTAS MANUKAYA BALI</v>
      </c>
      <c r="AB40" s="25" t="str">
        <f t="shared" si="24"/>
        <v>-</v>
      </c>
      <c r="AC40" s="25" t="str">
        <f t="shared" si="25"/>
        <v>-</v>
      </c>
      <c r="AD40" s="55" t="str">
        <f t="shared" si="20"/>
        <v xml:space="preserve">JALAN </v>
      </c>
      <c r="AE40" s="30" t="str">
        <f t="shared" si="26"/>
        <v>BANJAR BANTAS MANUKAYA</v>
      </c>
      <c r="AF40" s="33"/>
      <c r="AG40" s="40"/>
      <c r="AH40" s="40"/>
      <c r="AI40" s="91"/>
      <c r="AJ40" s="71" t="str">
        <f t="shared" si="21"/>
        <v>-</v>
      </c>
      <c r="AK40" s="99" t="s">
        <v>128</v>
      </c>
      <c r="AL40" s="72" t="s">
        <v>77</v>
      </c>
      <c r="AM40" s="33"/>
      <c r="AN40" s="33"/>
      <c r="AO40" s="33"/>
      <c r="AP40" s="33"/>
      <c r="AQ40" s="25"/>
      <c r="AR40" s="55" t="s">
        <v>78</v>
      </c>
      <c r="AS40" s="55" t="str">
        <f t="shared" si="22"/>
        <v>DPS.100.2701</v>
      </c>
      <c r="AT40" s="40"/>
      <c r="AU40" s="55" t="str">
        <f>AU32</f>
        <v>DPS.100.2701.BRBNTS.043</v>
      </c>
      <c r="AV40" s="74" t="s">
        <v>84</v>
      </c>
      <c r="AW40" s="56"/>
      <c r="AX40" s="101">
        <v>-8.4020410000000005</v>
      </c>
      <c r="AY40" s="101">
        <v>115.31731600000001</v>
      </c>
      <c r="AZ40" s="53"/>
      <c r="BA40" s="55"/>
      <c r="BB40" s="55"/>
      <c r="BC40" s="55"/>
      <c r="BD40" s="55"/>
      <c r="BE40" s="55"/>
      <c r="BF40" s="55"/>
      <c r="BG40" s="55"/>
      <c r="BH40" s="55"/>
      <c r="BI40" s="55"/>
      <c r="BJ40" s="73"/>
    </row>
    <row r="41" spans="1:62" s="110" customFormat="1" ht="18" customHeight="1" x14ac:dyDescent="0.25">
      <c r="A41" s="57"/>
      <c r="B41" s="57">
        <v>6</v>
      </c>
      <c r="C41" s="58" t="s">
        <v>81</v>
      </c>
      <c r="D41" s="58" t="s">
        <v>80</v>
      </c>
      <c r="E41" s="59">
        <v>1</v>
      </c>
      <c r="F41" s="57">
        <v>6</v>
      </c>
      <c r="G41" s="106"/>
      <c r="H41" s="77">
        <v>2</v>
      </c>
      <c r="I41" s="31" t="str">
        <f>I40</f>
        <v>MR.BRBNTS.P009</v>
      </c>
      <c r="J41" s="31" t="str">
        <f t="shared" ref="J41:K41" si="48">J40</f>
        <v xml:space="preserve"> -8.402847°</v>
      </c>
      <c r="K41" s="31" t="str">
        <f t="shared" si="48"/>
        <v>115.317143°</v>
      </c>
      <c r="L41" s="32" t="str">
        <f>L26</f>
        <v>JALAN BANJAR BANTAS MANUKAYA</v>
      </c>
      <c r="M41" s="31" t="str">
        <f t="shared" si="7"/>
        <v>BALI</v>
      </c>
      <c r="N41" s="31" t="str">
        <f t="shared" si="8"/>
        <v>DENPASAR</v>
      </c>
      <c r="O41" s="31" t="str">
        <f t="shared" si="9"/>
        <v>TAMPAKSIRING</v>
      </c>
      <c r="P41" s="31" t="str">
        <f t="shared" si="10"/>
        <v>MANUKAYA</v>
      </c>
      <c r="Q41" s="31">
        <f t="shared" si="11"/>
        <v>80552</v>
      </c>
      <c r="R41" s="31" t="str">
        <f t="shared" si="12"/>
        <v>-</v>
      </c>
      <c r="S41" s="31" t="str">
        <f t="shared" si="13"/>
        <v>-</v>
      </c>
      <c r="T41" s="31" t="str">
        <f t="shared" si="14"/>
        <v>-</v>
      </c>
      <c r="U41" s="31" t="str">
        <f t="shared" si="15"/>
        <v>FTTH</v>
      </c>
      <c r="V41" s="31" t="str">
        <f t="shared" si="16"/>
        <v>-</v>
      </c>
      <c r="W41" s="31" t="str">
        <f t="shared" si="17"/>
        <v>General Retail</v>
      </c>
      <c r="X41" s="31" t="str">
        <f t="shared" si="2"/>
        <v>-</v>
      </c>
      <c r="Y41" s="78"/>
      <c r="Z41" s="79" t="str">
        <f t="shared" si="18"/>
        <v>BANJAR BANTAS MANUKAYA BALI</v>
      </c>
      <c r="AA41" s="79" t="str">
        <f t="shared" si="19"/>
        <v>BANJAR BANTAS MANUKAYA BALI</v>
      </c>
      <c r="AB41" s="26" t="str">
        <f t="shared" si="24"/>
        <v>-</v>
      </c>
      <c r="AC41" s="26" t="str">
        <f t="shared" si="25"/>
        <v>-</v>
      </c>
      <c r="AD41" s="39" t="str">
        <f t="shared" si="20"/>
        <v xml:space="preserve">JALAN </v>
      </c>
      <c r="AE41" s="32" t="str">
        <f t="shared" si="26"/>
        <v>BANJAR BANTAS MANUKAYA</v>
      </c>
      <c r="AF41" s="34"/>
      <c r="AG41" s="41"/>
      <c r="AH41" s="41"/>
      <c r="AI41" s="80"/>
      <c r="AJ41" s="81" t="str">
        <f t="shared" si="21"/>
        <v>-</v>
      </c>
      <c r="AK41" s="98" t="s">
        <v>129</v>
      </c>
      <c r="AL41" s="82" t="s">
        <v>77</v>
      </c>
      <c r="AM41" s="34"/>
      <c r="AN41" s="34"/>
      <c r="AO41" s="34"/>
      <c r="AP41" s="34"/>
      <c r="AQ41" s="26"/>
      <c r="AR41" s="39" t="s">
        <v>78</v>
      </c>
      <c r="AS41" s="39" t="str">
        <f t="shared" si="22"/>
        <v>DPS.100.2701</v>
      </c>
      <c r="AT41" s="41"/>
      <c r="AU41" s="39" t="str">
        <f t="shared" si="23"/>
        <v>DPS.100.2701.BRBNTS.043</v>
      </c>
      <c r="AV41" s="83" t="s">
        <v>84</v>
      </c>
      <c r="AW41" s="60"/>
      <c r="AX41" s="100">
        <v>-8.4023420000000009</v>
      </c>
      <c r="AY41" s="100">
        <v>115.317198</v>
      </c>
      <c r="AZ41" s="52"/>
      <c r="BA41" s="39"/>
      <c r="BB41" s="39"/>
      <c r="BC41" s="39"/>
      <c r="BD41" s="39"/>
      <c r="BE41" s="39"/>
      <c r="BF41" s="39"/>
      <c r="BG41" s="39"/>
      <c r="BH41" s="39"/>
      <c r="BI41" s="39"/>
      <c r="BJ41" s="84"/>
    </row>
    <row r="42" spans="1:62" s="110" customFormat="1" ht="18" customHeight="1" x14ac:dyDescent="0.25">
      <c r="A42" s="89"/>
      <c r="B42" s="89"/>
      <c r="C42" s="89"/>
      <c r="D42" s="89"/>
      <c r="E42" s="89"/>
      <c r="F42" s="90"/>
      <c r="G42" s="89"/>
      <c r="H42" s="77">
        <v>3</v>
      </c>
      <c r="I42" s="31" t="str">
        <f t="shared" ref="I42:I52" si="49">I41</f>
        <v>MR.BRBNTS.P009</v>
      </c>
      <c r="J42" s="31" t="str">
        <f t="shared" ref="J42:J52" si="50">J41</f>
        <v xml:space="preserve"> -8.402847°</v>
      </c>
      <c r="K42" s="31" t="str">
        <f t="shared" ref="K42:K52" si="51">K41</f>
        <v>115.317143°</v>
      </c>
      <c r="L42" s="32" t="str">
        <f t="shared" ref="L42:L52" si="52">L27</f>
        <v>JALAN BANJAR BANTAS MANUKAYA</v>
      </c>
      <c r="M42" s="31" t="str">
        <f t="shared" si="7"/>
        <v>BALI</v>
      </c>
      <c r="N42" s="31" t="str">
        <f t="shared" si="8"/>
        <v>DENPASAR</v>
      </c>
      <c r="O42" s="31" t="str">
        <f t="shared" si="9"/>
        <v>TAMPAKSIRING</v>
      </c>
      <c r="P42" s="31" t="str">
        <f t="shared" si="10"/>
        <v>MANUKAYA</v>
      </c>
      <c r="Q42" s="31">
        <f t="shared" si="11"/>
        <v>80552</v>
      </c>
      <c r="R42" s="31" t="str">
        <f t="shared" si="12"/>
        <v>-</v>
      </c>
      <c r="S42" s="31" t="str">
        <f t="shared" si="13"/>
        <v>-</v>
      </c>
      <c r="T42" s="31" t="str">
        <f t="shared" si="14"/>
        <v>-</v>
      </c>
      <c r="U42" s="31" t="str">
        <f t="shared" si="15"/>
        <v>FTTH</v>
      </c>
      <c r="V42" s="31" t="str">
        <f t="shared" si="16"/>
        <v>-</v>
      </c>
      <c r="W42" s="31" t="str">
        <f t="shared" si="17"/>
        <v>General Retail</v>
      </c>
      <c r="X42" s="31" t="str">
        <f t="shared" si="2"/>
        <v>-</v>
      </c>
      <c r="Y42" s="78"/>
      <c r="Z42" s="79" t="str">
        <f t="shared" si="18"/>
        <v>BANJAR BANTAS MANUKAYA BALI</v>
      </c>
      <c r="AA42" s="79" t="str">
        <f t="shared" si="19"/>
        <v>BANJAR BANTAS MANUKAYA BALI</v>
      </c>
      <c r="AB42" s="26" t="str">
        <f t="shared" si="24"/>
        <v>-</v>
      </c>
      <c r="AC42" s="26" t="str">
        <f t="shared" si="25"/>
        <v>-</v>
      </c>
      <c r="AD42" s="39" t="str">
        <f t="shared" si="20"/>
        <v xml:space="preserve">JALAN </v>
      </c>
      <c r="AE42" s="32" t="str">
        <f t="shared" si="26"/>
        <v>BANJAR BANTAS MANUKAYA</v>
      </c>
      <c r="AF42" s="34"/>
      <c r="AG42" s="41"/>
      <c r="AH42" s="41"/>
      <c r="AI42" s="80"/>
      <c r="AJ42" s="81" t="str">
        <f t="shared" si="21"/>
        <v>-</v>
      </c>
      <c r="AK42" s="98" t="s">
        <v>130</v>
      </c>
      <c r="AL42" s="82" t="s">
        <v>77</v>
      </c>
      <c r="AM42" s="34"/>
      <c r="AN42" s="34"/>
      <c r="AO42" s="34"/>
      <c r="AP42" s="34"/>
      <c r="AQ42" s="26"/>
      <c r="AR42" s="39" t="s">
        <v>78</v>
      </c>
      <c r="AS42" s="39" t="str">
        <f t="shared" si="22"/>
        <v>DPS.100.2701</v>
      </c>
      <c r="AT42" s="41"/>
      <c r="AU42" s="39" t="str">
        <f t="shared" si="23"/>
        <v>DPS.100.2701.BRBNTS.043</v>
      </c>
      <c r="AV42" s="83" t="s">
        <v>84</v>
      </c>
      <c r="AW42" s="60"/>
      <c r="AX42" s="100">
        <v>-8.4025610000000004</v>
      </c>
      <c r="AY42" s="100">
        <v>115.31711</v>
      </c>
      <c r="AZ42" s="52"/>
      <c r="BA42" s="39"/>
      <c r="BB42" s="39"/>
      <c r="BC42" s="39"/>
      <c r="BD42" s="39"/>
      <c r="BE42" s="39"/>
      <c r="BF42" s="39"/>
      <c r="BG42" s="39"/>
      <c r="BH42" s="39"/>
      <c r="BI42" s="39"/>
      <c r="BJ42" s="84"/>
    </row>
    <row r="43" spans="1:62" s="110" customFormat="1" ht="18" customHeight="1" x14ac:dyDescent="0.25">
      <c r="A43" s="89"/>
      <c r="B43" s="89"/>
      <c r="C43" s="89"/>
      <c r="D43" s="89"/>
      <c r="E43" s="89"/>
      <c r="F43" s="90"/>
      <c r="G43" s="89"/>
      <c r="H43" s="77">
        <v>4</v>
      </c>
      <c r="I43" s="31" t="str">
        <f t="shared" si="49"/>
        <v>MR.BRBNTS.P009</v>
      </c>
      <c r="J43" s="31" t="str">
        <f t="shared" si="50"/>
        <v xml:space="preserve"> -8.402847°</v>
      </c>
      <c r="K43" s="31" t="str">
        <f t="shared" si="51"/>
        <v>115.317143°</v>
      </c>
      <c r="L43" s="32" t="str">
        <f t="shared" si="52"/>
        <v>JALAN BANJAR BANTAS MANUKAYA</v>
      </c>
      <c r="M43" s="31" t="str">
        <f t="shared" si="7"/>
        <v>BALI</v>
      </c>
      <c r="N43" s="31" t="str">
        <f t="shared" si="8"/>
        <v>DENPASAR</v>
      </c>
      <c r="O43" s="31" t="str">
        <f t="shared" si="9"/>
        <v>TAMPAKSIRING</v>
      </c>
      <c r="P43" s="31" t="str">
        <f t="shared" si="10"/>
        <v>MANUKAYA</v>
      </c>
      <c r="Q43" s="31">
        <f t="shared" si="11"/>
        <v>80552</v>
      </c>
      <c r="R43" s="31" t="str">
        <f t="shared" si="12"/>
        <v>-</v>
      </c>
      <c r="S43" s="31" t="str">
        <f t="shared" si="13"/>
        <v>-</v>
      </c>
      <c r="T43" s="31" t="str">
        <f t="shared" si="14"/>
        <v>-</v>
      </c>
      <c r="U43" s="31" t="str">
        <f t="shared" si="15"/>
        <v>FTTH</v>
      </c>
      <c r="V43" s="31" t="str">
        <f t="shared" si="16"/>
        <v>-</v>
      </c>
      <c r="W43" s="31" t="str">
        <f t="shared" si="17"/>
        <v>General Retail</v>
      </c>
      <c r="X43" s="31" t="str">
        <f t="shared" si="2"/>
        <v>-</v>
      </c>
      <c r="Y43" s="78"/>
      <c r="Z43" s="79" t="str">
        <f t="shared" si="18"/>
        <v>BANJAR BANTAS MANUKAYA BALI</v>
      </c>
      <c r="AA43" s="79" t="str">
        <f t="shared" si="19"/>
        <v>BANJAR BANTAS MANUKAYA BALI</v>
      </c>
      <c r="AB43" s="26" t="str">
        <f t="shared" si="24"/>
        <v>-</v>
      </c>
      <c r="AC43" s="26" t="str">
        <f t="shared" si="25"/>
        <v>-</v>
      </c>
      <c r="AD43" s="39" t="str">
        <f t="shared" si="20"/>
        <v xml:space="preserve">JALAN </v>
      </c>
      <c r="AE43" s="32" t="str">
        <f t="shared" si="26"/>
        <v>BANJAR BANTAS MANUKAYA</v>
      </c>
      <c r="AF43" s="34"/>
      <c r="AG43" s="41"/>
      <c r="AH43" s="41"/>
      <c r="AI43" s="80"/>
      <c r="AJ43" s="81" t="str">
        <f t="shared" si="21"/>
        <v>-</v>
      </c>
      <c r="AK43" s="98" t="s">
        <v>131</v>
      </c>
      <c r="AL43" s="82" t="s">
        <v>77</v>
      </c>
      <c r="AM43" s="34"/>
      <c r="AN43" s="34"/>
      <c r="AO43" s="34"/>
      <c r="AP43" s="34"/>
      <c r="AQ43" s="26"/>
      <c r="AR43" s="39" t="s">
        <v>78</v>
      </c>
      <c r="AS43" s="39" t="str">
        <f t="shared" si="22"/>
        <v>DPS.100.2701</v>
      </c>
      <c r="AT43" s="41"/>
      <c r="AU43" s="39" t="str">
        <f t="shared" si="23"/>
        <v>DPS.100.2701.BRBNTS.043</v>
      </c>
      <c r="AV43" s="83" t="s">
        <v>84</v>
      </c>
      <c r="AW43" s="60"/>
      <c r="AX43" s="100">
        <v>-8.4027440000000002</v>
      </c>
      <c r="AY43" s="100">
        <v>115.317092</v>
      </c>
      <c r="AZ43" s="52"/>
      <c r="BA43" s="39"/>
      <c r="BB43" s="39"/>
      <c r="BC43" s="39"/>
      <c r="BD43" s="39"/>
      <c r="BE43" s="39"/>
      <c r="BF43" s="39"/>
      <c r="BG43" s="39"/>
      <c r="BH43" s="39"/>
      <c r="BI43" s="39"/>
      <c r="BJ43" s="84"/>
    </row>
    <row r="44" spans="1:62" s="110" customFormat="1" ht="18" customHeight="1" x14ac:dyDescent="0.25">
      <c r="A44" s="89"/>
      <c r="B44" s="89"/>
      <c r="C44" s="89"/>
      <c r="D44" s="89"/>
      <c r="E44" s="89"/>
      <c r="F44" s="90"/>
      <c r="G44" s="89"/>
      <c r="H44" s="77">
        <v>5</v>
      </c>
      <c r="I44" s="31" t="str">
        <f t="shared" si="49"/>
        <v>MR.BRBNTS.P009</v>
      </c>
      <c r="J44" s="31" t="str">
        <f t="shared" si="50"/>
        <v xml:space="preserve"> -8.402847°</v>
      </c>
      <c r="K44" s="31" t="str">
        <f t="shared" si="51"/>
        <v>115.317143°</v>
      </c>
      <c r="L44" s="32" t="str">
        <f t="shared" si="52"/>
        <v>JALAN BANJAR BANTAS MANUKAYA</v>
      </c>
      <c r="M44" s="31" t="str">
        <f t="shared" si="7"/>
        <v>BALI</v>
      </c>
      <c r="N44" s="31" t="str">
        <f t="shared" si="8"/>
        <v>DENPASAR</v>
      </c>
      <c r="O44" s="31" t="str">
        <f t="shared" si="9"/>
        <v>TAMPAKSIRING</v>
      </c>
      <c r="P44" s="31" t="str">
        <f t="shared" si="10"/>
        <v>MANUKAYA</v>
      </c>
      <c r="Q44" s="31">
        <f t="shared" si="11"/>
        <v>80552</v>
      </c>
      <c r="R44" s="31" t="str">
        <f t="shared" si="12"/>
        <v>-</v>
      </c>
      <c r="S44" s="31" t="str">
        <f t="shared" si="13"/>
        <v>-</v>
      </c>
      <c r="T44" s="31" t="str">
        <f t="shared" si="14"/>
        <v>-</v>
      </c>
      <c r="U44" s="31" t="str">
        <f t="shared" si="15"/>
        <v>FTTH</v>
      </c>
      <c r="V44" s="31" t="str">
        <f t="shared" si="16"/>
        <v>-</v>
      </c>
      <c r="W44" s="31" t="str">
        <f t="shared" si="17"/>
        <v>General Retail</v>
      </c>
      <c r="X44" s="31" t="str">
        <f t="shared" si="2"/>
        <v>-</v>
      </c>
      <c r="Y44" s="78"/>
      <c r="Z44" s="79" t="str">
        <f t="shared" si="18"/>
        <v>BANJAR BANTAS MANUKAYA BALI</v>
      </c>
      <c r="AA44" s="79" t="str">
        <f t="shared" si="19"/>
        <v>BANJAR BANTAS MANUKAYA BALI</v>
      </c>
      <c r="AB44" s="26" t="str">
        <f t="shared" si="24"/>
        <v>-</v>
      </c>
      <c r="AC44" s="26" t="str">
        <f t="shared" si="25"/>
        <v>-</v>
      </c>
      <c r="AD44" s="39" t="str">
        <f t="shared" si="20"/>
        <v xml:space="preserve">JALAN </v>
      </c>
      <c r="AE44" s="32" t="str">
        <f t="shared" si="26"/>
        <v>BANJAR BANTAS MANUKAYA</v>
      </c>
      <c r="AF44" s="34"/>
      <c r="AG44" s="41"/>
      <c r="AH44" s="41"/>
      <c r="AI44" s="80"/>
      <c r="AJ44" s="81" t="str">
        <f t="shared" si="21"/>
        <v>-</v>
      </c>
      <c r="AK44" s="98" t="s">
        <v>132</v>
      </c>
      <c r="AL44" s="82" t="s">
        <v>77</v>
      </c>
      <c r="AM44" s="34"/>
      <c r="AN44" s="34"/>
      <c r="AO44" s="34"/>
      <c r="AP44" s="34"/>
      <c r="AQ44" s="26"/>
      <c r="AR44" s="39" t="s">
        <v>78</v>
      </c>
      <c r="AS44" s="39" t="str">
        <f t="shared" si="22"/>
        <v>DPS.100.2701</v>
      </c>
      <c r="AT44" s="41"/>
      <c r="AU44" s="39" t="str">
        <f t="shared" si="23"/>
        <v>DPS.100.2701.BRBNTS.043</v>
      </c>
      <c r="AV44" s="83" t="s">
        <v>84</v>
      </c>
      <c r="AW44" s="60"/>
      <c r="AX44" s="100">
        <v>-8.4029450000000008</v>
      </c>
      <c r="AY44" s="100">
        <v>115.316992</v>
      </c>
      <c r="AZ44" s="52"/>
      <c r="BA44" s="39"/>
      <c r="BB44" s="39"/>
      <c r="BC44" s="39"/>
      <c r="BD44" s="39"/>
      <c r="BE44" s="39"/>
      <c r="BF44" s="39"/>
      <c r="BG44" s="39"/>
      <c r="BH44" s="39"/>
      <c r="BI44" s="39"/>
      <c r="BJ44" s="84"/>
    </row>
    <row r="45" spans="1:62" s="110" customFormat="1" ht="18" customHeight="1" x14ac:dyDescent="0.25">
      <c r="A45" s="89"/>
      <c r="B45" s="89"/>
      <c r="C45" s="89"/>
      <c r="D45" s="89"/>
      <c r="E45" s="89"/>
      <c r="F45" s="90"/>
      <c r="G45" s="89"/>
      <c r="H45" s="77">
        <v>6</v>
      </c>
      <c r="I45" s="31" t="str">
        <f t="shared" si="49"/>
        <v>MR.BRBNTS.P009</v>
      </c>
      <c r="J45" s="31" t="str">
        <f t="shared" si="50"/>
        <v xml:space="preserve"> -8.402847°</v>
      </c>
      <c r="K45" s="31" t="str">
        <f t="shared" si="51"/>
        <v>115.317143°</v>
      </c>
      <c r="L45" s="32" t="str">
        <f t="shared" si="52"/>
        <v>JALAN BANJAR BANTAS MANUKAYA</v>
      </c>
      <c r="M45" s="31" t="str">
        <f t="shared" si="7"/>
        <v>BALI</v>
      </c>
      <c r="N45" s="31" t="str">
        <f t="shared" si="8"/>
        <v>DENPASAR</v>
      </c>
      <c r="O45" s="31" t="str">
        <f t="shared" si="9"/>
        <v>TAMPAKSIRING</v>
      </c>
      <c r="P45" s="31" t="str">
        <f t="shared" si="10"/>
        <v>MANUKAYA</v>
      </c>
      <c r="Q45" s="31">
        <f t="shared" si="11"/>
        <v>80552</v>
      </c>
      <c r="R45" s="31" t="str">
        <f t="shared" si="12"/>
        <v>-</v>
      </c>
      <c r="S45" s="31" t="str">
        <f t="shared" si="13"/>
        <v>-</v>
      </c>
      <c r="T45" s="31" t="str">
        <f t="shared" si="14"/>
        <v>-</v>
      </c>
      <c r="U45" s="31" t="str">
        <f t="shared" si="15"/>
        <v>FTTH</v>
      </c>
      <c r="V45" s="31" t="str">
        <f t="shared" si="16"/>
        <v>-</v>
      </c>
      <c r="W45" s="31" t="str">
        <f t="shared" si="17"/>
        <v>General Retail</v>
      </c>
      <c r="X45" s="31" t="str">
        <f t="shared" si="2"/>
        <v>-</v>
      </c>
      <c r="Y45" s="78"/>
      <c r="Z45" s="79" t="str">
        <f t="shared" si="18"/>
        <v>BANJAR BANTAS MANUKAYA BALI</v>
      </c>
      <c r="AA45" s="79" t="str">
        <f t="shared" si="19"/>
        <v>BANJAR BANTAS MANUKAYA BALI</v>
      </c>
      <c r="AB45" s="26" t="str">
        <f t="shared" si="24"/>
        <v>-</v>
      </c>
      <c r="AC45" s="26" t="str">
        <f t="shared" si="25"/>
        <v>-</v>
      </c>
      <c r="AD45" s="39" t="str">
        <f t="shared" si="20"/>
        <v xml:space="preserve">JALAN </v>
      </c>
      <c r="AE45" s="32" t="str">
        <f t="shared" si="26"/>
        <v>BANJAR BANTAS MANUKAYA</v>
      </c>
      <c r="AF45" s="34"/>
      <c r="AG45" s="41"/>
      <c r="AH45" s="41"/>
      <c r="AI45" s="80"/>
      <c r="AJ45" s="81" t="str">
        <f t="shared" si="21"/>
        <v>-</v>
      </c>
      <c r="AK45" s="98" t="s">
        <v>133</v>
      </c>
      <c r="AL45" s="82" t="s">
        <v>77</v>
      </c>
      <c r="AM45" s="34"/>
      <c r="AN45" s="34"/>
      <c r="AO45" s="34"/>
      <c r="AP45" s="34"/>
      <c r="AQ45" s="26"/>
      <c r="AR45" s="39" t="s">
        <v>78</v>
      </c>
      <c r="AS45" s="39" t="str">
        <f t="shared" si="22"/>
        <v>DPS.100.2701</v>
      </c>
      <c r="AT45" s="41"/>
      <c r="AU45" s="39" t="str">
        <f t="shared" si="23"/>
        <v>DPS.100.2701.BRBNTS.043</v>
      </c>
      <c r="AV45" s="83" t="s">
        <v>84</v>
      </c>
      <c r="AW45" s="60"/>
      <c r="AX45" s="100">
        <v>-8.4030880000000003</v>
      </c>
      <c r="AY45" s="100">
        <v>115.316889</v>
      </c>
      <c r="AZ45" s="52"/>
      <c r="BA45" s="39"/>
      <c r="BB45" s="39"/>
      <c r="BC45" s="39"/>
      <c r="BD45" s="39"/>
      <c r="BE45" s="39"/>
      <c r="BF45" s="39"/>
      <c r="BG45" s="39"/>
      <c r="BH45" s="39"/>
      <c r="BI45" s="39"/>
      <c r="BJ45" s="84"/>
    </row>
    <row r="46" spans="1:62" s="110" customFormat="1" ht="18" customHeight="1" x14ac:dyDescent="0.25">
      <c r="A46" s="89"/>
      <c r="B46" s="89"/>
      <c r="C46" s="89"/>
      <c r="D46" s="89"/>
      <c r="E46" s="89"/>
      <c r="F46" s="90"/>
      <c r="G46" s="89"/>
      <c r="H46" s="77">
        <v>7</v>
      </c>
      <c r="I46" s="31" t="str">
        <f t="shared" si="49"/>
        <v>MR.BRBNTS.P009</v>
      </c>
      <c r="J46" s="31" t="str">
        <f t="shared" si="50"/>
        <v xml:space="preserve"> -8.402847°</v>
      </c>
      <c r="K46" s="31" t="str">
        <f t="shared" si="51"/>
        <v>115.317143°</v>
      </c>
      <c r="L46" s="32" t="str">
        <f t="shared" si="52"/>
        <v>JALAN BANJAR BANTAS MANUKAYA</v>
      </c>
      <c r="M46" s="31" t="str">
        <f t="shared" si="7"/>
        <v>BALI</v>
      </c>
      <c r="N46" s="31" t="str">
        <f t="shared" si="8"/>
        <v>DENPASAR</v>
      </c>
      <c r="O46" s="31" t="str">
        <f t="shared" si="9"/>
        <v>TAMPAKSIRING</v>
      </c>
      <c r="P46" s="31" t="str">
        <f t="shared" si="10"/>
        <v>MANUKAYA</v>
      </c>
      <c r="Q46" s="31">
        <f t="shared" si="11"/>
        <v>80552</v>
      </c>
      <c r="R46" s="31" t="str">
        <f t="shared" si="12"/>
        <v>-</v>
      </c>
      <c r="S46" s="31" t="str">
        <f t="shared" si="13"/>
        <v>-</v>
      </c>
      <c r="T46" s="31" t="str">
        <f t="shared" si="14"/>
        <v>-</v>
      </c>
      <c r="U46" s="31" t="str">
        <f t="shared" si="15"/>
        <v>FTTH</v>
      </c>
      <c r="V46" s="31" t="str">
        <f t="shared" si="16"/>
        <v>-</v>
      </c>
      <c r="W46" s="31" t="str">
        <f t="shared" si="17"/>
        <v>General Retail</v>
      </c>
      <c r="X46" s="31" t="str">
        <f t="shared" si="2"/>
        <v>-</v>
      </c>
      <c r="Y46" s="78"/>
      <c r="Z46" s="79" t="str">
        <f t="shared" si="18"/>
        <v>BANJAR BANTAS MANUKAYA BALI</v>
      </c>
      <c r="AA46" s="79" t="str">
        <f t="shared" si="19"/>
        <v>BANJAR BANTAS MANUKAYA BALI</v>
      </c>
      <c r="AB46" s="26" t="str">
        <f t="shared" si="24"/>
        <v>-</v>
      </c>
      <c r="AC46" s="26" t="str">
        <f t="shared" si="25"/>
        <v>-</v>
      </c>
      <c r="AD46" s="39" t="str">
        <f t="shared" si="20"/>
        <v xml:space="preserve">JALAN </v>
      </c>
      <c r="AE46" s="32" t="str">
        <f t="shared" si="26"/>
        <v>BANJAR BANTAS MANUKAYA</v>
      </c>
      <c r="AF46" s="34"/>
      <c r="AG46" s="41"/>
      <c r="AH46" s="41"/>
      <c r="AI46" s="80"/>
      <c r="AJ46" s="81" t="str">
        <f t="shared" si="21"/>
        <v>-</v>
      </c>
      <c r="AK46" s="98" t="s">
        <v>122</v>
      </c>
      <c r="AL46" s="82" t="s">
        <v>77</v>
      </c>
      <c r="AM46" s="34"/>
      <c r="AN46" s="34"/>
      <c r="AO46" s="34"/>
      <c r="AP46" s="34"/>
      <c r="AQ46" s="26"/>
      <c r="AR46" s="39" t="s">
        <v>78</v>
      </c>
      <c r="AS46" s="39" t="str">
        <f t="shared" si="22"/>
        <v>DPS.100.2701</v>
      </c>
      <c r="AT46" s="41"/>
      <c r="AU46" s="39" t="str">
        <f t="shared" si="23"/>
        <v>DPS.100.2701.BRBNTS.043</v>
      </c>
      <c r="AV46" s="83" t="s">
        <v>84</v>
      </c>
      <c r="AW46" s="60"/>
      <c r="AX46" s="100">
        <v>-8.4033510000000007</v>
      </c>
      <c r="AY46" s="100">
        <v>115.316721</v>
      </c>
      <c r="AZ46" s="52"/>
      <c r="BA46" s="39"/>
      <c r="BB46" s="39"/>
      <c r="BC46" s="39"/>
      <c r="BD46" s="39"/>
      <c r="BE46" s="39"/>
      <c r="BF46" s="39"/>
      <c r="BG46" s="39"/>
      <c r="BH46" s="39"/>
      <c r="BI46" s="39"/>
      <c r="BJ46" s="84"/>
    </row>
    <row r="47" spans="1:62" s="110" customFormat="1" ht="18" customHeight="1" x14ac:dyDescent="0.25">
      <c r="A47" s="89"/>
      <c r="B47" s="89"/>
      <c r="C47" s="89"/>
      <c r="D47" s="89"/>
      <c r="E47" s="89"/>
      <c r="F47" s="90"/>
      <c r="G47" s="89"/>
      <c r="H47" s="77">
        <v>8</v>
      </c>
      <c r="I47" s="31" t="str">
        <f t="shared" si="49"/>
        <v>MR.BRBNTS.P009</v>
      </c>
      <c r="J47" s="31" t="str">
        <f t="shared" si="50"/>
        <v xml:space="preserve"> -8.402847°</v>
      </c>
      <c r="K47" s="31" t="str">
        <f t="shared" si="51"/>
        <v>115.317143°</v>
      </c>
      <c r="L47" s="32" t="str">
        <f t="shared" si="52"/>
        <v>JALAN BANJAR BANTAS MANUKAYA</v>
      </c>
      <c r="M47" s="31" t="str">
        <f t="shared" si="7"/>
        <v>BALI</v>
      </c>
      <c r="N47" s="31" t="str">
        <f t="shared" si="8"/>
        <v>DENPASAR</v>
      </c>
      <c r="O47" s="31" t="str">
        <f t="shared" si="9"/>
        <v>TAMPAKSIRING</v>
      </c>
      <c r="P47" s="31" t="str">
        <f t="shared" si="10"/>
        <v>MANUKAYA</v>
      </c>
      <c r="Q47" s="31">
        <f t="shared" si="11"/>
        <v>80552</v>
      </c>
      <c r="R47" s="31" t="str">
        <f t="shared" si="12"/>
        <v>-</v>
      </c>
      <c r="S47" s="31" t="str">
        <f t="shared" si="13"/>
        <v>-</v>
      </c>
      <c r="T47" s="31" t="str">
        <f t="shared" si="14"/>
        <v>-</v>
      </c>
      <c r="U47" s="31" t="str">
        <f t="shared" si="15"/>
        <v>FTTH</v>
      </c>
      <c r="V47" s="31" t="str">
        <f t="shared" si="16"/>
        <v>-</v>
      </c>
      <c r="W47" s="31" t="str">
        <f t="shared" si="17"/>
        <v>General Retail</v>
      </c>
      <c r="X47" s="31" t="str">
        <f t="shared" si="2"/>
        <v>-</v>
      </c>
      <c r="Y47" s="78"/>
      <c r="Z47" s="79" t="str">
        <f t="shared" si="18"/>
        <v>BANJAR BANTAS MANUKAYA BALI</v>
      </c>
      <c r="AA47" s="79" t="str">
        <f t="shared" si="19"/>
        <v>BANJAR BANTAS MANUKAYA BALI</v>
      </c>
      <c r="AB47" s="26" t="str">
        <f t="shared" si="24"/>
        <v>-</v>
      </c>
      <c r="AC47" s="26" t="str">
        <f t="shared" si="25"/>
        <v>-</v>
      </c>
      <c r="AD47" s="39" t="str">
        <f t="shared" si="20"/>
        <v xml:space="preserve">JALAN </v>
      </c>
      <c r="AE47" s="32" t="str">
        <f t="shared" si="26"/>
        <v>BANJAR BANTAS MANUKAYA</v>
      </c>
      <c r="AF47" s="34"/>
      <c r="AG47" s="41"/>
      <c r="AH47" s="41"/>
      <c r="AI47" s="80"/>
      <c r="AJ47" s="81" t="str">
        <f t="shared" si="21"/>
        <v>-</v>
      </c>
      <c r="AK47" s="98" t="s">
        <v>123</v>
      </c>
      <c r="AL47" s="82" t="s">
        <v>77</v>
      </c>
      <c r="AM47" s="34"/>
      <c r="AN47" s="34"/>
      <c r="AO47" s="34"/>
      <c r="AP47" s="34"/>
      <c r="AQ47" s="26"/>
      <c r="AR47" s="39" t="s">
        <v>78</v>
      </c>
      <c r="AS47" s="39" t="str">
        <f t="shared" si="22"/>
        <v>DPS.100.2701</v>
      </c>
      <c r="AT47" s="41"/>
      <c r="AU47" s="39" t="str">
        <f t="shared" si="23"/>
        <v>DPS.100.2701.BRBNTS.043</v>
      </c>
      <c r="AV47" s="83" t="s">
        <v>84</v>
      </c>
      <c r="AW47" s="60"/>
      <c r="AX47" s="100">
        <v>-8.4035290000000007</v>
      </c>
      <c r="AY47" s="100">
        <v>115.31673499999999</v>
      </c>
      <c r="AZ47" s="52"/>
      <c r="BA47" s="39"/>
      <c r="BB47" s="39"/>
      <c r="BC47" s="39"/>
      <c r="BD47" s="39"/>
      <c r="BE47" s="39"/>
      <c r="BF47" s="39"/>
      <c r="BG47" s="39"/>
      <c r="BH47" s="39"/>
      <c r="BI47" s="39"/>
      <c r="BJ47" s="84"/>
    </row>
    <row r="48" spans="1:62" s="110" customFormat="1" ht="18" customHeight="1" x14ac:dyDescent="0.25">
      <c r="A48" s="62"/>
      <c r="B48" s="62"/>
      <c r="C48" s="62"/>
      <c r="D48" s="62"/>
      <c r="E48" s="62"/>
      <c r="F48" s="90"/>
      <c r="G48" s="107"/>
      <c r="H48" s="77">
        <v>9</v>
      </c>
      <c r="I48" s="31" t="str">
        <f t="shared" si="49"/>
        <v>MR.BRBNTS.P009</v>
      </c>
      <c r="J48" s="31" t="str">
        <f t="shared" si="50"/>
        <v xml:space="preserve"> -8.402847°</v>
      </c>
      <c r="K48" s="31" t="str">
        <f t="shared" si="51"/>
        <v>115.317143°</v>
      </c>
      <c r="L48" s="32" t="str">
        <f t="shared" si="52"/>
        <v>JALAN BANJAR BANTAS MANUKAYA</v>
      </c>
      <c r="M48" s="31" t="str">
        <f t="shared" si="7"/>
        <v>BALI</v>
      </c>
      <c r="N48" s="31" t="str">
        <f t="shared" si="8"/>
        <v>DENPASAR</v>
      </c>
      <c r="O48" s="31" t="str">
        <f t="shared" si="9"/>
        <v>TAMPAKSIRING</v>
      </c>
      <c r="P48" s="31" t="str">
        <f t="shared" si="10"/>
        <v>MANUKAYA</v>
      </c>
      <c r="Q48" s="31">
        <f t="shared" si="11"/>
        <v>80552</v>
      </c>
      <c r="R48" s="31" t="str">
        <f t="shared" si="12"/>
        <v>-</v>
      </c>
      <c r="S48" s="31" t="str">
        <f t="shared" si="13"/>
        <v>-</v>
      </c>
      <c r="T48" s="31" t="str">
        <f t="shared" si="14"/>
        <v>-</v>
      </c>
      <c r="U48" s="31" t="str">
        <f t="shared" si="15"/>
        <v>FTTH</v>
      </c>
      <c r="V48" s="31" t="str">
        <f t="shared" si="16"/>
        <v>-</v>
      </c>
      <c r="W48" s="31" t="str">
        <f t="shared" si="17"/>
        <v>General Retail</v>
      </c>
      <c r="X48" s="31" t="str">
        <f t="shared" si="2"/>
        <v>-</v>
      </c>
      <c r="Y48" s="78"/>
      <c r="Z48" s="79" t="str">
        <f t="shared" si="18"/>
        <v>BANJAR BANTAS MANUKAYA BALI</v>
      </c>
      <c r="AA48" s="79" t="str">
        <f t="shared" si="19"/>
        <v>BANJAR BANTAS MANUKAYA BALI</v>
      </c>
      <c r="AB48" s="26" t="str">
        <f t="shared" si="24"/>
        <v>-</v>
      </c>
      <c r="AC48" s="26" t="str">
        <f t="shared" si="25"/>
        <v>-</v>
      </c>
      <c r="AD48" s="39" t="str">
        <f t="shared" si="20"/>
        <v xml:space="preserve">JALAN </v>
      </c>
      <c r="AE48" s="32" t="str">
        <f t="shared" si="26"/>
        <v>BANJAR BANTAS MANUKAYA</v>
      </c>
      <c r="AF48" s="34"/>
      <c r="AG48" s="41"/>
      <c r="AH48" s="41"/>
      <c r="AI48" s="80"/>
      <c r="AJ48" s="81" t="str">
        <f t="shared" si="21"/>
        <v>-</v>
      </c>
      <c r="AK48" s="98" t="s">
        <v>124</v>
      </c>
      <c r="AL48" s="82" t="s">
        <v>77</v>
      </c>
      <c r="AM48" s="34"/>
      <c r="AN48" s="34"/>
      <c r="AO48" s="34"/>
      <c r="AP48" s="34"/>
      <c r="AQ48" s="26"/>
      <c r="AR48" s="39" t="s">
        <v>78</v>
      </c>
      <c r="AS48" s="39" t="str">
        <f t="shared" si="22"/>
        <v>DPS.100.2701</v>
      </c>
      <c r="AT48" s="41"/>
      <c r="AU48" s="39" t="str">
        <f t="shared" si="23"/>
        <v>DPS.100.2701.BRBNTS.043</v>
      </c>
      <c r="AV48" s="83" t="s">
        <v>84</v>
      </c>
      <c r="AW48" s="60"/>
      <c r="AX48" s="100">
        <v>-8.4035150000000005</v>
      </c>
      <c r="AY48" s="100">
        <v>115.31708999999999</v>
      </c>
      <c r="AZ48" s="52"/>
      <c r="BA48" s="39"/>
      <c r="BB48" s="39"/>
      <c r="BC48" s="39"/>
      <c r="BD48" s="39"/>
      <c r="BE48" s="39"/>
      <c r="BF48" s="39"/>
      <c r="BG48" s="39"/>
      <c r="BH48" s="39"/>
      <c r="BI48" s="39"/>
      <c r="BJ48" s="84"/>
    </row>
    <row r="49" spans="1:62" s="110" customFormat="1" ht="18" customHeight="1" x14ac:dyDescent="0.25">
      <c r="A49" s="62"/>
      <c r="B49" s="62"/>
      <c r="C49" s="62"/>
      <c r="D49" s="62"/>
      <c r="E49" s="62"/>
      <c r="F49" s="90"/>
      <c r="G49" s="107"/>
      <c r="H49" s="77">
        <v>10</v>
      </c>
      <c r="I49" s="31" t="str">
        <f t="shared" si="49"/>
        <v>MR.BRBNTS.P009</v>
      </c>
      <c r="J49" s="31" t="str">
        <f t="shared" si="50"/>
        <v xml:space="preserve"> -8.402847°</v>
      </c>
      <c r="K49" s="31" t="str">
        <f t="shared" si="51"/>
        <v>115.317143°</v>
      </c>
      <c r="L49" s="32" t="str">
        <f t="shared" si="52"/>
        <v>JALAN BANJAR BANTAS MANUKAYA</v>
      </c>
      <c r="M49" s="31" t="str">
        <f t="shared" si="7"/>
        <v>BALI</v>
      </c>
      <c r="N49" s="31" t="str">
        <f t="shared" si="8"/>
        <v>DENPASAR</v>
      </c>
      <c r="O49" s="31" t="str">
        <f t="shared" si="9"/>
        <v>TAMPAKSIRING</v>
      </c>
      <c r="P49" s="31" t="str">
        <f t="shared" si="10"/>
        <v>MANUKAYA</v>
      </c>
      <c r="Q49" s="31">
        <f t="shared" si="11"/>
        <v>80552</v>
      </c>
      <c r="R49" s="31" t="str">
        <f t="shared" si="12"/>
        <v>-</v>
      </c>
      <c r="S49" s="31" t="str">
        <f t="shared" si="13"/>
        <v>-</v>
      </c>
      <c r="T49" s="31" t="str">
        <f t="shared" si="14"/>
        <v>-</v>
      </c>
      <c r="U49" s="31" t="str">
        <f t="shared" si="15"/>
        <v>FTTH</v>
      </c>
      <c r="V49" s="31" t="str">
        <f t="shared" si="16"/>
        <v>-</v>
      </c>
      <c r="W49" s="31" t="str">
        <f t="shared" si="17"/>
        <v>General Retail</v>
      </c>
      <c r="X49" s="31" t="str">
        <f t="shared" si="2"/>
        <v>-</v>
      </c>
      <c r="Y49" s="78"/>
      <c r="Z49" s="79" t="str">
        <f t="shared" si="18"/>
        <v>BANJAR BANTAS MANUKAYA BALI</v>
      </c>
      <c r="AA49" s="79" t="str">
        <f t="shared" si="19"/>
        <v>BANJAR BANTAS MANUKAYA BALI</v>
      </c>
      <c r="AB49" s="26" t="str">
        <f t="shared" si="24"/>
        <v>-</v>
      </c>
      <c r="AC49" s="26" t="str">
        <f t="shared" si="25"/>
        <v>-</v>
      </c>
      <c r="AD49" s="39" t="str">
        <f t="shared" si="20"/>
        <v xml:space="preserve">JALAN </v>
      </c>
      <c r="AE49" s="32" t="str">
        <f t="shared" si="26"/>
        <v>BANJAR BANTAS MANUKAYA</v>
      </c>
      <c r="AF49" s="34"/>
      <c r="AG49" s="41"/>
      <c r="AH49" s="41"/>
      <c r="AI49" s="80"/>
      <c r="AJ49" s="81" t="str">
        <f t="shared" si="21"/>
        <v>-</v>
      </c>
      <c r="AK49" s="98" t="s">
        <v>125</v>
      </c>
      <c r="AL49" s="82" t="s">
        <v>77</v>
      </c>
      <c r="AM49" s="34"/>
      <c r="AN49" s="34"/>
      <c r="AO49" s="34"/>
      <c r="AP49" s="34"/>
      <c r="AQ49" s="26"/>
      <c r="AR49" s="39" t="s">
        <v>78</v>
      </c>
      <c r="AS49" s="39" t="str">
        <f t="shared" si="22"/>
        <v>DPS.100.2701</v>
      </c>
      <c r="AT49" s="41"/>
      <c r="AU49" s="39" t="str">
        <f t="shared" si="23"/>
        <v>DPS.100.2701.BRBNTS.043</v>
      </c>
      <c r="AV49" s="83" t="s">
        <v>84</v>
      </c>
      <c r="AW49" s="60"/>
      <c r="AX49" s="100">
        <v>-8.4036039999999996</v>
      </c>
      <c r="AY49" s="100">
        <v>115.317072</v>
      </c>
      <c r="AZ49" s="52"/>
      <c r="BA49" s="39"/>
      <c r="BB49" s="39"/>
      <c r="BC49" s="39"/>
      <c r="BD49" s="39"/>
      <c r="BE49" s="39"/>
      <c r="BF49" s="39"/>
      <c r="BG49" s="39"/>
      <c r="BH49" s="39"/>
      <c r="BI49" s="39"/>
      <c r="BJ49" s="84"/>
    </row>
    <row r="50" spans="1:62" s="110" customFormat="1" ht="18" customHeight="1" x14ac:dyDescent="0.25">
      <c r="A50" s="89"/>
      <c r="B50" s="89"/>
      <c r="C50" s="89"/>
      <c r="D50" s="89"/>
      <c r="E50" s="89"/>
      <c r="F50" s="90"/>
      <c r="G50" s="89"/>
      <c r="H50" s="77">
        <v>11</v>
      </c>
      <c r="I50" s="31" t="str">
        <f t="shared" si="49"/>
        <v>MR.BRBNTS.P009</v>
      </c>
      <c r="J50" s="31" t="str">
        <f t="shared" si="50"/>
        <v xml:space="preserve"> -8.402847°</v>
      </c>
      <c r="K50" s="31" t="str">
        <f t="shared" si="51"/>
        <v>115.317143°</v>
      </c>
      <c r="L50" s="32" t="str">
        <f t="shared" si="52"/>
        <v>JALAN BANJAR BANTAS MANUKAYA</v>
      </c>
      <c r="M50" s="31" t="str">
        <f t="shared" si="7"/>
        <v>BALI</v>
      </c>
      <c r="N50" s="31" t="str">
        <f t="shared" si="8"/>
        <v>DENPASAR</v>
      </c>
      <c r="O50" s="31" t="str">
        <f t="shared" si="9"/>
        <v>TAMPAKSIRING</v>
      </c>
      <c r="P50" s="31" t="str">
        <f t="shared" si="10"/>
        <v>MANUKAYA</v>
      </c>
      <c r="Q50" s="31">
        <f t="shared" si="11"/>
        <v>80552</v>
      </c>
      <c r="R50" s="31" t="str">
        <f t="shared" si="12"/>
        <v>-</v>
      </c>
      <c r="S50" s="31" t="str">
        <f t="shared" si="13"/>
        <v>-</v>
      </c>
      <c r="T50" s="31" t="str">
        <f t="shared" si="14"/>
        <v>-</v>
      </c>
      <c r="U50" s="31" t="str">
        <f t="shared" si="15"/>
        <v>FTTH</v>
      </c>
      <c r="V50" s="31" t="str">
        <f t="shared" si="16"/>
        <v>-</v>
      </c>
      <c r="W50" s="31" t="str">
        <f t="shared" si="17"/>
        <v>General Retail</v>
      </c>
      <c r="X50" s="31" t="str">
        <f t="shared" si="2"/>
        <v>-</v>
      </c>
      <c r="Y50" s="78"/>
      <c r="Z50" s="79" t="str">
        <f t="shared" si="18"/>
        <v>BANJAR BANTAS MANUKAYA BALI</v>
      </c>
      <c r="AA50" s="79" t="str">
        <f t="shared" si="19"/>
        <v>BANJAR BANTAS MANUKAYA BALI</v>
      </c>
      <c r="AB50" s="26" t="str">
        <f t="shared" si="24"/>
        <v>-</v>
      </c>
      <c r="AC50" s="26" t="str">
        <f t="shared" si="25"/>
        <v>-</v>
      </c>
      <c r="AD50" s="39" t="str">
        <f t="shared" si="20"/>
        <v xml:space="preserve">JALAN </v>
      </c>
      <c r="AE50" s="32" t="str">
        <f t="shared" si="26"/>
        <v>BANJAR BANTAS MANUKAYA</v>
      </c>
      <c r="AF50" s="34"/>
      <c r="AG50" s="41"/>
      <c r="AH50" s="41"/>
      <c r="AI50" s="80"/>
      <c r="AJ50" s="81" t="str">
        <f t="shared" si="21"/>
        <v>-</v>
      </c>
      <c r="AK50" s="98" t="s">
        <v>126</v>
      </c>
      <c r="AL50" s="82" t="s">
        <v>77</v>
      </c>
      <c r="AM50" s="34"/>
      <c r="AN50" s="34"/>
      <c r="AO50" s="34"/>
      <c r="AP50" s="34"/>
      <c r="AQ50" s="26"/>
      <c r="AR50" s="39" t="s">
        <v>78</v>
      </c>
      <c r="AS50" s="39" t="str">
        <f t="shared" si="22"/>
        <v>DPS.100.2701</v>
      </c>
      <c r="AT50" s="41"/>
      <c r="AU50" s="39" t="str">
        <f t="shared" si="23"/>
        <v>DPS.100.2701.BRBNTS.043</v>
      </c>
      <c r="AV50" s="83" t="s">
        <v>84</v>
      </c>
      <c r="AW50" s="60"/>
      <c r="AX50" s="100">
        <v>-8.4037089999999992</v>
      </c>
      <c r="AY50" s="100">
        <v>115.31699399999999</v>
      </c>
      <c r="AZ50" s="52"/>
      <c r="BA50" s="39"/>
      <c r="BB50" s="39"/>
      <c r="BC50" s="39"/>
      <c r="BD50" s="39"/>
      <c r="BE50" s="39"/>
      <c r="BF50" s="39"/>
      <c r="BG50" s="39"/>
      <c r="BH50" s="39"/>
      <c r="BI50" s="39"/>
      <c r="BJ50" s="84"/>
    </row>
    <row r="51" spans="1:62" s="110" customFormat="1" ht="18" customHeight="1" x14ac:dyDescent="0.25">
      <c r="A51" s="89"/>
      <c r="B51" s="89"/>
      <c r="C51" s="89"/>
      <c r="D51" s="89"/>
      <c r="E51" s="89"/>
      <c r="F51" s="89"/>
      <c r="G51" s="89"/>
      <c r="H51" s="77">
        <v>12</v>
      </c>
      <c r="I51" s="31" t="str">
        <f t="shared" si="49"/>
        <v>MR.BRBNTS.P009</v>
      </c>
      <c r="J51" s="31" t="str">
        <f t="shared" si="50"/>
        <v xml:space="preserve"> -8.402847°</v>
      </c>
      <c r="K51" s="31" t="str">
        <f t="shared" si="51"/>
        <v>115.317143°</v>
      </c>
      <c r="L51" s="32" t="str">
        <f t="shared" si="52"/>
        <v>JALAN BANJAR BANTAS MANUKAYA</v>
      </c>
      <c r="M51" s="31" t="str">
        <f t="shared" si="7"/>
        <v>BALI</v>
      </c>
      <c r="N51" s="31" t="str">
        <f t="shared" si="8"/>
        <v>DENPASAR</v>
      </c>
      <c r="O51" s="31" t="str">
        <f t="shared" si="9"/>
        <v>TAMPAKSIRING</v>
      </c>
      <c r="P51" s="31" t="str">
        <f t="shared" si="10"/>
        <v>MANUKAYA</v>
      </c>
      <c r="Q51" s="31">
        <f t="shared" si="11"/>
        <v>80552</v>
      </c>
      <c r="R51" s="31" t="str">
        <f t="shared" si="12"/>
        <v>-</v>
      </c>
      <c r="S51" s="31" t="str">
        <f t="shared" si="13"/>
        <v>-</v>
      </c>
      <c r="T51" s="31" t="str">
        <f t="shared" si="14"/>
        <v>-</v>
      </c>
      <c r="U51" s="31" t="str">
        <f t="shared" si="15"/>
        <v>FTTH</v>
      </c>
      <c r="V51" s="31" t="str">
        <f t="shared" si="16"/>
        <v>-</v>
      </c>
      <c r="W51" s="31" t="str">
        <f t="shared" si="17"/>
        <v>General Retail</v>
      </c>
      <c r="X51" s="31" t="str">
        <f t="shared" si="2"/>
        <v>-</v>
      </c>
      <c r="Y51" s="78"/>
      <c r="Z51" s="79" t="str">
        <f t="shared" si="18"/>
        <v>BANJAR BANTAS MANUKAYA BALI</v>
      </c>
      <c r="AA51" s="79" t="str">
        <f t="shared" si="19"/>
        <v>BANJAR BANTAS MANUKAYA BALI</v>
      </c>
      <c r="AB51" s="26" t="str">
        <f t="shared" si="24"/>
        <v>-</v>
      </c>
      <c r="AC51" s="26" t="str">
        <f t="shared" si="25"/>
        <v>-</v>
      </c>
      <c r="AD51" s="39" t="str">
        <f t="shared" si="20"/>
        <v xml:space="preserve">JALAN </v>
      </c>
      <c r="AE51" s="32" t="str">
        <f t="shared" si="26"/>
        <v>BANJAR BANTAS MANUKAYA</v>
      </c>
      <c r="AF51" s="34"/>
      <c r="AG51" s="41"/>
      <c r="AH51" s="41"/>
      <c r="AI51" s="80"/>
      <c r="AJ51" s="81" t="str">
        <f t="shared" si="21"/>
        <v>-</v>
      </c>
      <c r="AK51" s="98" t="s">
        <v>127</v>
      </c>
      <c r="AL51" s="82" t="s">
        <v>77</v>
      </c>
      <c r="AM51" s="34"/>
      <c r="AN51" s="34"/>
      <c r="AO51" s="34"/>
      <c r="AP51" s="34"/>
      <c r="AQ51" s="26"/>
      <c r="AR51" s="39" t="s">
        <v>78</v>
      </c>
      <c r="AS51" s="39" t="str">
        <f t="shared" si="22"/>
        <v>DPS.100.2701</v>
      </c>
      <c r="AT51" s="41"/>
      <c r="AU51" s="39" t="str">
        <f t="shared" si="23"/>
        <v>DPS.100.2701.BRBNTS.043</v>
      </c>
      <c r="AV51" s="83" t="s">
        <v>84</v>
      </c>
      <c r="AW51" s="60"/>
      <c r="AX51" s="100">
        <v>-8.4040520000000001</v>
      </c>
      <c r="AY51" s="100">
        <v>115.31697</v>
      </c>
      <c r="AZ51" s="52"/>
      <c r="BA51" s="39"/>
      <c r="BB51" s="39"/>
      <c r="BC51" s="39"/>
      <c r="BD51" s="39"/>
      <c r="BE51" s="39"/>
      <c r="BF51" s="39"/>
      <c r="BG51" s="39"/>
      <c r="BH51" s="39"/>
      <c r="BI51" s="39"/>
      <c r="BJ51" s="84"/>
    </row>
    <row r="52" spans="1:62" s="110" customFormat="1" ht="18" customHeight="1" x14ac:dyDescent="0.25">
      <c r="A52" s="89"/>
      <c r="B52" s="89"/>
      <c r="C52" s="89"/>
      <c r="D52" s="89"/>
      <c r="E52" s="89"/>
      <c r="F52" s="89"/>
      <c r="G52" s="89"/>
      <c r="H52" s="77">
        <v>13</v>
      </c>
      <c r="I52" s="31" t="str">
        <f t="shared" si="49"/>
        <v>MR.BRBNTS.P009</v>
      </c>
      <c r="J52" s="31" t="str">
        <f t="shared" si="50"/>
        <v xml:space="preserve"> -8.402847°</v>
      </c>
      <c r="K52" s="31" t="str">
        <f t="shared" si="51"/>
        <v>115.317143°</v>
      </c>
      <c r="L52" s="32" t="str">
        <f t="shared" si="52"/>
        <v>JALAN BANJAR BANTAS MANUKAYA</v>
      </c>
      <c r="M52" s="31" t="str">
        <f t="shared" si="7"/>
        <v>BALI</v>
      </c>
      <c r="N52" s="31" t="str">
        <f t="shared" si="8"/>
        <v>DENPASAR</v>
      </c>
      <c r="O52" s="31" t="str">
        <f t="shared" si="9"/>
        <v>TAMPAKSIRING</v>
      </c>
      <c r="P52" s="31" t="str">
        <f t="shared" si="10"/>
        <v>MANUKAYA</v>
      </c>
      <c r="Q52" s="31">
        <f t="shared" si="11"/>
        <v>80552</v>
      </c>
      <c r="R52" s="31" t="str">
        <f t="shared" si="12"/>
        <v>-</v>
      </c>
      <c r="S52" s="31" t="str">
        <f t="shared" si="13"/>
        <v>-</v>
      </c>
      <c r="T52" s="31" t="str">
        <f t="shared" si="14"/>
        <v>-</v>
      </c>
      <c r="U52" s="31" t="str">
        <f t="shared" si="15"/>
        <v>FTTH</v>
      </c>
      <c r="V52" s="31" t="str">
        <f t="shared" si="16"/>
        <v>-</v>
      </c>
      <c r="W52" s="31" t="str">
        <f t="shared" si="17"/>
        <v>General Retail</v>
      </c>
      <c r="X52" s="31" t="str">
        <f t="shared" si="2"/>
        <v>-</v>
      </c>
      <c r="Y52" s="78"/>
      <c r="Z52" s="79" t="str">
        <f t="shared" si="18"/>
        <v>BANJAR BANTAS MANUKAYA BALI</v>
      </c>
      <c r="AA52" s="79" t="str">
        <f t="shared" si="19"/>
        <v>BANJAR BANTAS MANUKAYA BALI</v>
      </c>
      <c r="AB52" s="26" t="str">
        <f t="shared" si="24"/>
        <v>-</v>
      </c>
      <c r="AC52" s="26" t="str">
        <f t="shared" si="25"/>
        <v>-</v>
      </c>
      <c r="AD52" s="39" t="str">
        <f t="shared" si="20"/>
        <v xml:space="preserve">JALAN </v>
      </c>
      <c r="AE52" s="32" t="str">
        <f t="shared" si="26"/>
        <v>BANJAR BANTAS MANUKAYA</v>
      </c>
      <c r="AF52" s="34"/>
      <c r="AG52" s="41"/>
      <c r="AH52" s="41"/>
      <c r="AI52" s="80"/>
      <c r="AJ52" s="81" t="str">
        <f t="shared" si="21"/>
        <v>-</v>
      </c>
      <c r="AK52" s="98" t="s">
        <v>134</v>
      </c>
      <c r="AL52" s="82" t="s">
        <v>77</v>
      </c>
      <c r="AM52" s="34"/>
      <c r="AN52" s="34"/>
      <c r="AO52" s="34"/>
      <c r="AP52" s="34"/>
      <c r="AQ52" s="26"/>
      <c r="AR52" s="39" t="s">
        <v>78</v>
      </c>
      <c r="AS52" s="39" t="str">
        <f t="shared" si="22"/>
        <v>DPS.100.2701</v>
      </c>
      <c r="AT52" s="41"/>
      <c r="AU52" s="39" t="str">
        <f t="shared" si="23"/>
        <v>DPS.100.2701.BRBNTS.043</v>
      </c>
      <c r="AV52" s="83" t="s">
        <v>84</v>
      </c>
      <c r="AW52" s="60"/>
      <c r="AX52" s="100">
        <v>-8.4021059999999999</v>
      </c>
      <c r="AY52" s="100">
        <v>115.317471</v>
      </c>
      <c r="AZ52" s="52"/>
      <c r="BA52" s="39"/>
      <c r="BB52" s="39"/>
      <c r="BC52" s="39"/>
      <c r="BD52" s="39"/>
      <c r="BE52" s="39"/>
      <c r="BF52" s="39"/>
      <c r="BG52" s="39"/>
      <c r="BH52" s="39"/>
      <c r="BI52" s="39"/>
      <c r="BJ52" s="84"/>
    </row>
    <row r="53" spans="1:62" s="110" customFormat="1" ht="18" customHeight="1" x14ac:dyDescent="0.25">
      <c r="A53" s="54" t="s">
        <v>74</v>
      </c>
      <c r="B53" s="54">
        <v>7</v>
      </c>
      <c r="C53" s="54" t="s">
        <v>81</v>
      </c>
      <c r="D53" s="54" t="s">
        <v>80</v>
      </c>
      <c r="E53" s="54">
        <v>1</v>
      </c>
      <c r="F53" s="54">
        <v>7</v>
      </c>
      <c r="G53" s="106" t="s">
        <v>85</v>
      </c>
      <c r="H53" s="64">
        <v>1</v>
      </c>
      <c r="I53" s="65" t="s">
        <v>212</v>
      </c>
      <c r="J53" s="65" t="s">
        <v>213</v>
      </c>
      <c r="K53" s="65" t="s">
        <v>214</v>
      </c>
      <c r="L53" s="30" t="str">
        <f>L41</f>
        <v>JALAN BANJAR BANTAS MANUKAYA</v>
      </c>
      <c r="M53" s="65" t="str">
        <f t="shared" si="7"/>
        <v>BALI</v>
      </c>
      <c r="N53" s="65" t="str">
        <f t="shared" si="8"/>
        <v>DENPASAR</v>
      </c>
      <c r="O53" s="65" t="str">
        <f t="shared" si="9"/>
        <v>TAMPAKSIRING</v>
      </c>
      <c r="P53" s="65" t="str">
        <f t="shared" si="10"/>
        <v>MANUKAYA</v>
      </c>
      <c r="Q53" s="65">
        <f t="shared" si="11"/>
        <v>80552</v>
      </c>
      <c r="R53" s="65" t="str">
        <f t="shared" si="12"/>
        <v>-</v>
      </c>
      <c r="S53" s="65" t="str">
        <f t="shared" si="13"/>
        <v>-</v>
      </c>
      <c r="T53" s="65" t="str">
        <f t="shared" si="14"/>
        <v>-</v>
      </c>
      <c r="U53" s="65" t="str">
        <f t="shared" si="15"/>
        <v>FTTH</v>
      </c>
      <c r="V53" s="65" t="str">
        <f t="shared" si="16"/>
        <v>-</v>
      </c>
      <c r="W53" s="65" t="str">
        <f t="shared" si="17"/>
        <v>General Retail</v>
      </c>
      <c r="X53" s="65" t="str">
        <f t="shared" si="2"/>
        <v>-</v>
      </c>
      <c r="Y53" s="68"/>
      <c r="Z53" s="69" t="str">
        <f t="shared" si="18"/>
        <v>BANJAR BANTAS MANUKAYA BALI</v>
      </c>
      <c r="AA53" s="69" t="str">
        <f t="shared" si="19"/>
        <v>BANJAR BANTAS MANUKAYA BALI</v>
      </c>
      <c r="AB53" s="25" t="str">
        <f t="shared" si="24"/>
        <v>-</v>
      </c>
      <c r="AC53" s="25" t="str">
        <f t="shared" si="25"/>
        <v>-</v>
      </c>
      <c r="AD53" s="55" t="str">
        <f t="shared" si="20"/>
        <v xml:space="preserve">JALAN </v>
      </c>
      <c r="AE53" s="30" t="str">
        <f t="shared" si="26"/>
        <v>BANJAR BANTAS MANUKAYA</v>
      </c>
      <c r="AF53" s="33"/>
      <c r="AG53" s="40"/>
      <c r="AH53" s="40"/>
      <c r="AI53" s="91"/>
      <c r="AJ53" s="71" t="str">
        <f t="shared" si="21"/>
        <v>-</v>
      </c>
      <c r="AK53" s="99" t="s">
        <v>135</v>
      </c>
      <c r="AL53" s="72" t="s">
        <v>77</v>
      </c>
      <c r="AM53" s="33"/>
      <c r="AN53" s="33"/>
      <c r="AO53" s="33"/>
      <c r="AP53" s="33"/>
      <c r="AQ53" s="25"/>
      <c r="AR53" s="55" t="s">
        <v>78</v>
      </c>
      <c r="AS53" s="55" t="str">
        <f t="shared" si="22"/>
        <v>DPS.100.2701</v>
      </c>
      <c r="AT53" s="40"/>
      <c r="AU53" s="55" t="str">
        <f>AU52</f>
        <v>DPS.100.2701.BRBNTS.043</v>
      </c>
      <c r="AV53" s="74" t="s">
        <v>85</v>
      </c>
      <c r="AW53" s="56"/>
      <c r="AX53" s="101">
        <v>-8.4028310000000008</v>
      </c>
      <c r="AY53" s="101">
        <v>115.31619600000001</v>
      </c>
      <c r="AZ53" s="53"/>
      <c r="BA53" s="55"/>
      <c r="BB53" s="55"/>
      <c r="BC53" s="55"/>
      <c r="BD53" s="55"/>
      <c r="BE53" s="55"/>
      <c r="BF53" s="55"/>
      <c r="BG53" s="55"/>
      <c r="BH53" s="55"/>
      <c r="BI53" s="55"/>
      <c r="BJ53" s="73"/>
    </row>
    <row r="54" spans="1:62" s="110" customFormat="1" ht="18" customHeight="1" x14ac:dyDescent="0.25">
      <c r="A54" s="57"/>
      <c r="B54" s="57">
        <v>8</v>
      </c>
      <c r="C54" s="58" t="s">
        <v>81</v>
      </c>
      <c r="D54" s="58" t="s">
        <v>80</v>
      </c>
      <c r="E54" s="59">
        <v>1</v>
      </c>
      <c r="F54" s="57">
        <v>8</v>
      </c>
      <c r="G54" s="106"/>
      <c r="H54" s="77">
        <v>2</v>
      </c>
      <c r="I54" s="31" t="str">
        <f>I53</f>
        <v>MR.BRBNTS.P014</v>
      </c>
      <c r="J54" s="31" t="str">
        <f t="shared" ref="J54:K54" si="53">J53</f>
        <v xml:space="preserve"> -8.402572°</v>
      </c>
      <c r="K54" s="31" t="str">
        <f t="shared" si="53"/>
        <v>115.316321°</v>
      </c>
      <c r="L54" s="32" t="str">
        <f>L41</f>
        <v>JALAN BANJAR BANTAS MANUKAYA</v>
      </c>
      <c r="M54" s="31" t="str">
        <f t="shared" si="7"/>
        <v>BALI</v>
      </c>
      <c r="N54" s="31" t="str">
        <f t="shared" si="8"/>
        <v>DENPASAR</v>
      </c>
      <c r="O54" s="31" t="str">
        <f t="shared" si="9"/>
        <v>TAMPAKSIRING</v>
      </c>
      <c r="P54" s="31" t="str">
        <f t="shared" si="10"/>
        <v>MANUKAYA</v>
      </c>
      <c r="Q54" s="31">
        <f t="shared" si="11"/>
        <v>80552</v>
      </c>
      <c r="R54" s="31" t="str">
        <f t="shared" si="12"/>
        <v>-</v>
      </c>
      <c r="S54" s="31" t="str">
        <f t="shared" si="13"/>
        <v>-</v>
      </c>
      <c r="T54" s="31" t="str">
        <f t="shared" si="14"/>
        <v>-</v>
      </c>
      <c r="U54" s="31" t="str">
        <f t="shared" si="15"/>
        <v>FTTH</v>
      </c>
      <c r="V54" s="31" t="str">
        <f t="shared" si="16"/>
        <v>-</v>
      </c>
      <c r="W54" s="31" t="str">
        <f t="shared" si="17"/>
        <v>General Retail</v>
      </c>
      <c r="X54" s="31" t="str">
        <f t="shared" si="2"/>
        <v>-</v>
      </c>
      <c r="Y54" s="78"/>
      <c r="Z54" s="79" t="str">
        <f t="shared" si="18"/>
        <v>BANJAR BANTAS MANUKAYA BALI</v>
      </c>
      <c r="AA54" s="79" t="str">
        <f t="shared" si="19"/>
        <v>BANJAR BANTAS MANUKAYA BALI</v>
      </c>
      <c r="AB54" s="26" t="str">
        <f t="shared" si="24"/>
        <v>-</v>
      </c>
      <c r="AC54" s="26" t="str">
        <f t="shared" si="25"/>
        <v>-</v>
      </c>
      <c r="AD54" s="39" t="str">
        <f t="shared" si="20"/>
        <v xml:space="preserve">JALAN </v>
      </c>
      <c r="AE54" s="32" t="str">
        <f t="shared" si="26"/>
        <v>BANJAR BANTAS MANUKAYA</v>
      </c>
      <c r="AF54" s="34"/>
      <c r="AG54" s="41"/>
      <c r="AH54" s="41"/>
      <c r="AI54" s="80"/>
      <c r="AJ54" s="81" t="str">
        <f t="shared" si="21"/>
        <v>-</v>
      </c>
      <c r="AK54" s="98" t="s">
        <v>136</v>
      </c>
      <c r="AL54" s="82" t="s">
        <v>77</v>
      </c>
      <c r="AM54" s="34"/>
      <c r="AN54" s="34"/>
      <c r="AO54" s="34"/>
      <c r="AP54" s="34"/>
      <c r="AQ54" s="26"/>
      <c r="AR54" s="39" t="s">
        <v>78</v>
      </c>
      <c r="AS54" s="39" t="str">
        <f t="shared" si="22"/>
        <v>DPS.100.2701</v>
      </c>
      <c r="AT54" s="41"/>
      <c r="AU54" s="39" t="str">
        <f t="shared" si="23"/>
        <v>DPS.100.2701.BRBNTS.043</v>
      </c>
      <c r="AV54" s="83" t="s">
        <v>85</v>
      </c>
      <c r="AW54" s="60"/>
      <c r="AX54" s="100">
        <v>-8.4029659999999993</v>
      </c>
      <c r="AY54" s="100">
        <v>115.315636</v>
      </c>
      <c r="AZ54" s="52"/>
      <c r="BA54" s="39"/>
      <c r="BB54" s="39"/>
      <c r="BC54" s="39"/>
      <c r="BD54" s="39"/>
      <c r="BE54" s="39"/>
      <c r="BF54" s="39"/>
      <c r="BG54" s="39"/>
      <c r="BH54" s="39"/>
      <c r="BI54" s="39"/>
      <c r="BJ54" s="84"/>
    </row>
    <row r="55" spans="1:62" s="110" customFormat="1" ht="18" customHeight="1" x14ac:dyDescent="0.25">
      <c r="A55" s="89"/>
      <c r="B55" s="89"/>
      <c r="C55" s="89"/>
      <c r="D55" s="89"/>
      <c r="E55" s="89"/>
      <c r="F55" s="89"/>
      <c r="G55" s="89"/>
      <c r="H55" s="77">
        <v>3</v>
      </c>
      <c r="I55" s="31" t="str">
        <f t="shared" ref="I55:I64" si="54">I54</f>
        <v>MR.BRBNTS.P014</v>
      </c>
      <c r="J55" s="31" t="str">
        <f t="shared" ref="J55:J64" si="55">J54</f>
        <v xml:space="preserve"> -8.402572°</v>
      </c>
      <c r="K55" s="31" t="str">
        <f t="shared" ref="K55:K64" si="56">K54</f>
        <v>115.316321°</v>
      </c>
      <c r="L55" s="32" t="str">
        <f t="shared" ref="L55:L64" si="57">L42</f>
        <v>JALAN BANJAR BANTAS MANUKAYA</v>
      </c>
      <c r="M55" s="31" t="str">
        <f t="shared" si="7"/>
        <v>BALI</v>
      </c>
      <c r="N55" s="31" t="str">
        <f t="shared" si="8"/>
        <v>DENPASAR</v>
      </c>
      <c r="O55" s="31" t="str">
        <f t="shared" si="9"/>
        <v>TAMPAKSIRING</v>
      </c>
      <c r="P55" s="31" t="str">
        <f t="shared" si="10"/>
        <v>MANUKAYA</v>
      </c>
      <c r="Q55" s="31">
        <f t="shared" si="11"/>
        <v>80552</v>
      </c>
      <c r="R55" s="31" t="str">
        <f t="shared" si="12"/>
        <v>-</v>
      </c>
      <c r="S55" s="31" t="str">
        <f t="shared" si="13"/>
        <v>-</v>
      </c>
      <c r="T55" s="31" t="str">
        <f t="shared" si="14"/>
        <v>-</v>
      </c>
      <c r="U55" s="31" t="str">
        <f t="shared" si="15"/>
        <v>FTTH</v>
      </c>
      <c r="V55" s="31" t="str">
        <f t="shared" si="16"/>
        <v>-</v>
      </c>
      <c r="W55" s="31" t="str">
        <f t="shared" si="17"/>
        <v>General Retail</v>
      </c>
      <c r="X55" s="31" t="str">
        <f t="shared" si="2"/>
        <v>-</v>
      </c>
      <c r="Y55" s="78"/>
      <c r="Z55" s="79" t="str">
        <f t="shared" si="18"/>
        <v>BANJAR BANTAS MANUKAYA BALI</v>
      </c>
      <c r="AA55" s="79" t="str">
        <f t="shared" si="19"/>
        <v>BANJAR BANTAS MANUKAYA BALI</v>
      </c>
      <c r="AB55" s="26" t="str">
        <f t="shared" si="24"/>
        <v>-</v>
      </c>
      <c r="AC55" s="26" t="str">
        <f t="shared" si="25"/>
        <v>-</v>
      </c>
      <c r="AD55" s="39" t="str">
        <f t="shared" si="20"/>
        <v xml:space="preserve">JALAN </v>
      </c>
      <c r="AE55" s="32" t="str">
        <f t="shared" si="26"/>
        <v>BANJAR BANTAS MANUKAYA</v>
      </c>
      <c r="AF55" s="34"/>
      <c r="AG55" s="41"/>
      <c r="AH55" s="41"/>
      <c r="AI55" s="80"/>
      <c r="AJ55" s="81" t="str">
        <f t="shared" si="21"/>
        <v>-</v>
      </c>
      <c r="AK55" s="98" t="s">
        <v>137</v>
      </c>
      <c r="AL55" s="82" t="s">
        <v>77</v>
      </c>
      <c r="AM55" s="34"/>
      <c r="AN55" s="34"/>
      <c r="AO55" s="34"/>
      <c r="AP55" s="34"/>
      <c r="AQ55" s="26"/>
      <c r="AR55" s="39" t="s">
        <v>78</v>
      </c>
      <c r="AS55" s="39" t="str">
        <f t="shared" si="22"/>
        <v>DPS.100.2701</v>
      </c>
      <c r="AT55" s="41"/>
      <c r="AU55" s="39" t="str">
        <f t="shared" si="23"/>
        <v>DPS.100.2701.BRBNTS.043</v>
      </c>
      <c r="AV55" s="83" t="s">
        <v>85</v>
      </c>
      <c r="AW55" s="60"/>
      <c r="AX55" s="100">
        <v>-8.4026300000000003</v>
      </c>
      <c r="AY55" s="100">
        <v>115.316238</v>
      </c>
      <c r="AZ55" s="52"/>
      <c r="BA55" s="39"/>
      <c r="BB55" s="39"/>
      <c r="BC55" s="39"/>
      <c r="BD55" s="39"/>
      <c r="BE55" s="39"/>
      <c r="BF55" s="39"/>
      <c r="BG55" s="39"/>
      <c r="BH55" s="39"/>
      <c r="BI55" s="39"/>
      <c r="BJ55" s="84"/>
    </row>
    <row r="56" spans="1:62" s="110" customFormat="1" ht="18" customHeight="1" x14ac:dyDescent="0.25">
      <c r="A56" s="89"/>
      <c r="B56" s="89"/>
      <c r="C56" s="89"/>
      <c r="D56" s="89"/>
      <c r="E56" s="89"/>
      <c r="F56" s="89"/>
      <c r="G56" s="89"/>
      <c r="H56" s="77">
        <v>4</v>
      </c>
      <c r="I56" s="31" t="str">
        <f t="shared" si="54"/>
        <v>MR.BRBNTS.P014</v>
      </c>
      <c r="J56" s="31" t="str">
        <f t="shared" si="55"/>
        <v xml:space="preserve"> -8.402572°</v>
      </c>
      <c r="K56" s="31" t="str">
        <f t="shared" si="56"/>
        <v>115.316321°</v>
      </c>
      <c r="L56" s="32" t="str">
        <f t="shared" si="57"/>
        <v>JALAN BANJAR BANTAS MANUKAYA</v>
      </c>
      <c r="M56" s="31" t="str">
        <f t="shared" si="7"/>
        <v>BALI</v>
      </c>
      <c r="N56" s="31" t="str">
        <f t="shared" si="8"/>
        <v>DENPASAR</v>
      </c>
      <c r="O56" s="31" t="str">
        <f t="shared" si="9"/>
        <v>TAMPAKSIRING</v>
      </c>
      <c r="P56" s="31" t="str">
        <f t="shared" si="10"/>
        <v>MANUKAYA</v>
      </c>
      <c r="Q56" s="31">
        <f t="shared" si="11"/>
        <v>80552</v>
      </c>
      <c r="R56" s="31" t="str">
        <f t="shared" si="12"/>
        <v>-</v>
      </c>
      <c r="S56" s="31" t="str">
        <f t="shared" si="13"/>
        <v>-</v>
      </c>
      <c r="T56" s="31" t="str">
        <f t="shared" si="14"/>
        <v>-</v>
      </c>
      <c r="U56" s="31" t="str">
        <f t="shared" si="15"/>
        <v>FTTH</v>
      </c>
      <c r="V56" s="31" t="str">
        <f t="shared" si="16"/>
        <v>-</v>
      </c>
      <c r="W56" s="31" t="str">
        <f t="shared" si="17"/>
        <v>General Retail</v>
      </c>
      <c r="X56" s="31" t="str">
        <f t="shared" si="2"/>
        <v>-</v>
      </c>
      <c r="Y56" s="78"/>
      <c r="Z56" s="79" t="str">
        <f t="shared" si="18"/>
        <v>BANJAR BANTAS MANUKAYA BALI</v>
      </c>
      <c r="AA56" s="79" t="str">
        <f t="shared" si="19"/>
        <v>BANJAR BANTAS MANUKAYA BALI</v>
      </c>
      <c r="AB56" s="26" t="str">
        <f t="shared" si="24"/>
        <v>-</v>
      </c>
      <c r="AC56" s="26" t="str">
        <f t="shared" si="25"/>
        <v>-</v>
      </c>
      <c r="AD56" s="39" t="str">
        <f t="shared" si="20"/>
        <v xml:space="preserve">JALAN </v>
      </c>
      <c r="AE56" s="32" t="str">
        <f t="shared" si="26"/>
        <v>BANJAR BANTAS MANUKAYA</v>
      </c>
      <c r="AF56" s="34"/>
      <c r="AG56" s="41"/>
      <c r="AH56" s="41"/>
      <c r="AI56" s="80"/>
      <c r="AJ56" s="81" t="str">
        <f t="shared" si="21"/>
        <v>-</v>
      </c>
      <c r="AK56" s="98" t="s">
        <v>138</v>
      </c>
      <c r="AL56" s="82" t="s">
        <v>77</v>
      </c>
      <c r="AM56" s="34"/>
      <c r="AN56" s="34"/>
      <c r="AO56" s="34"/>
      <c r="AP56" s="34"/>
      <c r="AQ56" s="26"/>
      <c r="AR56" s="39" t="s">
        <v>78</v>
      </c>
      <c r="AS56" s="39" t="str">
        <f t="shared" si="22"/>
        <v>DPS.100.2701</v>
      </c>
      <c r="AT56" s="41"/>
      <c r="AU56" s="39" t="str">
        <f t="shared" si="23"/>
        <v>DPS.100.2701.BRBNTS.043</v>
      </c>
      <c r="AV56" s="83" t="s">
        <v>85</v>
      </c>
      <c r="AW56" s="60"/>
      <c r="AX56" s="100">
        <v>-8.4024520000000003</v>
      </c>
      <c r="AY56" s="100">
        <v>115.316295</v>
      </c>
      <c r="AZ56" s="52"/>
      <c r="BA56" s="39"/>
      <c r="BB56" s="39"/>
      <c r="BC56" s="39"/>
      <c r="BD56" s="39"/>
      <c r="BE56" s="39"/>
      <c r="BF56" s="39"/>
      <c r="BG56" s="39"/>
      <c r="BH56" s="39"/>
      <c r="BI56" s="39"/>
      <c r="BJ56" s="84"/>
    </row>
    <row r="57" spans="1:62" s="110" customFormat="1" ht="18" customHeight="1" x14ac:dyDescent="0.25">
      <c r="A57" s="89"/>
      <c r="B57" s="89"/>
      <c r="C57" s="89"/>
      <c r="D57" s="89"/>
      <c r="E57" s="89"/>
      <c r="F57" s="89"/>
      <c r="G57" s="89"/>
      <c r="H57" s="77">
        <v>5</v>
      </c>
      <c r="I57" s="31" t="str">
        <f t="shared" si="54"/>
        <v>MR.BRBNTS.P014</v>
      </c>
      <c r="J57" s="31" t="str">
        <f t="shared" si="55"/>
        <v xml:space="preserve"> -8.402572°</v>
      </c>
      <c r="K57" s="31" t="str">
        <f t="shared" si="56"/>
        <v>115.316321°</v>
      </c>
      <c r="L57" s="32" t="str">
        <f t="shared" si="57"/>
        <v>JALAN BANJAR BANTAS MANUKAYA</v>
      </c>
      <c r="M57" s="31" t="str">
        <f t="shared" si="7"/>
        <v>BALI</v>
      </c>
      <c r="N57" s="31" t="str">
        <f t="shared" si="8"/>
        <v>DENPASAR</v>
      </c>
      <c r="O57" s="31" t="str">
        <f t="shared" si="9"/>
        <v>TAMPAKSIRING</v>
      </c>
      <c r="P57" s="31" t="str">
        <f t="shared" si="10"/>
        <v>MANUKAYA</v>
      </c>
      <c r="Q57" s="31">
        <f t="shared" si="11"/>
        <v>80552</v>
      </c>
      <c r="R57" s="31" t="str">
        <f t="shared" si="12"/>
        <v>-</v>
      </c>
      <c r="S57" s="31" t="str">
        <f t="shared" si="13"/>
        <v>-</v>
      </c>
      <c r="T57" s="31" t="str">
        <f t="shared" si="14"/>
        <v>-</v>
      </c>
      <c r="U57" s="31" t="str">
        <f t="shared" si="15"/>
        <v>FTTH</v>
      </c>
      <c r="V57" s="31" t="str">
        <f t="shared" si="16"/>
        <v>-</v>
      </c>
      <c r="W57" s="31" t="str">
        <f t="shared" si="17"/>
        <v>General Retail</v>
      </c>
      <c r="X57" s="31" t="str">
        <f t="shared" si="2"/>
        <v>-</v>
      </c>
      <c r="Y57" s="78"/>
      <c r="Z57" s="79" t="str">
        <f t="shared" si="18"/>
        <v>BANJAR BANTAS MANUKAYA BALI</v>
      </c>
      <c r="AA57" s="79" t="str">
        <f t="shared" si="19"/>
        <v>BANJAR BANTAS MANUKAYA BALI</v>
      </c>
      <c r="AB57" s="26" t="str">
        <f t="shared" si="24"/>
        <v>-</v>
      </c>
      <c r="AC57" s="26" t="str">
        <f t="shared" si="25"/>
        <v>-</v>
      </c>
      <c r="AD57" s="39" t="str">
        <f t="shared" si="20"/>
        <v xml:space="preserve">JALAN </v>
      </c>
      <c r="AE57" s="32" t="str">
        <f t="shared" si="26"/>
        <v>BANJAR BANTAS MANUKAYA</v>
      </c>
      <c r="AF57" s="34"/>
      <c r="AG57" s="41"/>
      <c r="AH57" s="41"/>
      <c r="AI57" s="80"/>
      <c r="AJ57" s="81" t="str">
        <f t="shared" si="21"/>
        <v>-</v>
      </c>
      <c r="AK57" s="98" t="s">
        <v>139</v>
      </c>
      <c r="AL57" s="82" t="s">
        <v>77</v>
      </c>
      <c r="AM57" s="34"/>
      <c r="AN57" s="34"/>
      <c r="AO57" s="34"/>
      <c r="AP57" s="34"/>
      <c r="AQ57" s="26"/>
      <c r="AR57" s="39" t="s">
        <v>78</v>
      </c>
      <c r="AS57" s="39" t="str">
        <f t="shared" si="22"/>
        <v>DPS.100.2701</v>
      </c>
      <c r="AT57" s="41"/>
      <c r="AU57" s="39" t="str">
        <f t="shared" si="23"/>
        <v>DPS.100.2701.BRBNTS.043</v>
      </c>
      <c r="AV57" s="83" t="s">
        <v>85</v>
      </c>
      <c r="AW57" s="60"/>
      <c r="AX57" s="100">
        <v>-8.4022690000000004</v>
      </c>
      <c r="AY57" s="100">
        <v>115.31632399999999</v>
      </c>
      <c r="AZ57" s="52"/>
      <c r="BA57" s="39"/>
      <c r="BB57" s="39"/>
      <c r="BC57" s="39"/>
      <c r="BD57" s="39"/>
      <c r="BE57" s="39"/>
      <c r="BF57" s="39"/>
      <c r="BG57" s="39"/>
      <c r="BH57" s="39"/>
      <c r="BI57" s="39"/>
      <c r="BJ57" s="84"/>
    </row>
    <row r="58" spans="1:62" s="110" customFormat="1" ht="18" customHeight="1" x14ac:dyDescent="0.25">
      <c r="A58" s="89"/>
      <c r="B58" s="89"/>
      <c r="C58" s="89"/>
      <c r="D58" s="89"/>
      <c r="E58" s="89"/>
      <c r="F58" s="89"/>
      <c r="G58" s="89"/>
      <c r="H58" s="77">
        <v>6</v>
      </c>
      <c r="I58" s="31" t="str">
        <f t="shared" si="54"/>
        <v>MR.BRBNTS.P014</v>
      </c>
      <c r="J58" s="31" t="str">
        <f t="shared" si="55"/>
        <v xml:space="preserve"> -8.402572°</v>
      </c>
      <c r="K58" s="31" t="str">
        <f t="shared" si="56"/>
        <v>115.316321°</v>
      </c>
      <c r="L58" s="32" t="str">
        <f t="shared" si="57"/>
        <v>JALAN BANJAR BANTAS MANUKAYA</v>
      </c>
      <c r="M58" s="31" t="str">
        <f t="shared" si="7"/>
        <v>BALI</v>
      </c>
      <c r="N58" s="31" t="str">
        <f t="shared" si="8"/>
        <v>DENPASAR</v>
      </c>
      <c r="O58" s="31" t="str">
        <f t="shared" si="9"/>
        <v>TAMPAKSIRING</v>
      </c>
      <c r="P58" s="31" t="str">
        <f t="shared" si="10"/>
        <v>MANUKAYA</v>
      </c>
      <c r="Q58" s="31">
        <f t="shared" si="11"/>
        <v>80552</v>
      </c>
      <c r="R58" s="31" t="str">
        <f t="shared" si="12"/>
        <v>-</v>
      </c>
      <c r="S58" s="31" t="str">
        <f t="shared" si="13"/>
        <v>-</v>
      </c>
      <c r="T58" s="31" t="str">
        <f t="shared" si="14"/>
        <v>-</v>
      </c>
      <c r="U58" s="31" t="str">
        <f t="shared" si="15"/>
        <v>FTTH</v>
      </c>
      <c r="V58" s="31" t="str">
        <f t="shared" si="16"/>
        <v>-</v>
      </c>
      <c r="W58" s="31" t="str">
        <f t="shared" si="17"/>
        <v>General Retail</v>
      </c>
      <c r="X58" s="31" t="str">
        <f t="shared" si="2"/>
        <v>-</v>
      </c>
      <c r="Y58" s="78"/>
      <c r="Z58" s="79" t="str">
        <f t="shared" si="18"/>
        <v>BANJAR BANTAS MANUKAYA BALI</v>
      </c>
      <c r="AA58" s="79" t="str">
        <f t="shared" si="19"/>
        <v>BANJAR BANTAS MANUKAYA BALI</v>
      </c>
      <c r="AB58" s="26" t="str">
        <f t="shared" si="24"/>
        <v>-</v>
      </c>
      <c r="AC58" s="26" t="str">
        <f t="shared" si="25"/>
        <v>-</v>
      </c>
      <c r="AD58" s="39" t="str">
        <f t="shared" si="20"/>
        <v xml:space="preserve">JALAN </v>
      </c>
      <c r="AE58" s="32" t="str">
        <f t="shared" si="26"/>
        <v>BANJAR BANTAS MANUKAYA</v>
      </c>
      <c r="AF58" s="34"/>
      <c r="AG58" s="41"/>
      <c r="AH58" s="41"/>
      <c r="AI58" s="80"/>
      <c r="AJ58" s="81" t="str">
        <f t="shared" si="21"/>
        <v>-</v>
      </c>
      <c r="AK58" s="98" t="s">
        <v>140</v>
      </c>
      <c r="AL58" s="82" t="s">
        <v>77</v>
      </c>
      <c r="AM58" s="34"/>
      <c r="AN58" s="34"/>
      <c r="AO58" s="34"/>
      <c r="AP58" s="34"/>
      <c r="AQ58" s="26"/>
      <c r="AR58" s="39" t="s">
        <v>78</v>
      </c>
      <c r="AS58" s="39" t="str">
        <f t="shared" si="22"/>
        <v>DPS.100.2701</v>
      </c>
      <c r="AT58" s="41"/>
      <c r="AU58" s="39" t="str">
        <f t="shared" si="23"/>
        <v>DPS.100.2701.BRBNTS.043</v>
      </c>
      <c r="AV58" s="83" t="s">
        <v>85</v>
      </c>
      <c r="AW58" s="60"/>
      <c r="AX58" s="100">
        <v>-8.4021229999999996</v>
      </c>
      <c r="AY58" s="100">
        <v>115.316383</v>
      </c>
      <c r="AZ58" s="52"/>
      <c r="BA58" s="39"/>
      <c r="BB58" s="39"/>
      <c r="BC58" s="39"/>
      <c r="BD58" s="39"/>
      <c r="BE58" s="39"/>
      <c r="BF58" s="39"/>
      <c r="BG58" s="39"/>
      <c r="BH58" s="39"/>
      <c r="BI58" s="39"/>
      <c r="BJ58" s="84"/>
    </row>
    <row r="59" spans="1:62" s="110" customFormat="1" ht="18" customHeight="1" x14ac:dyDescent="0.25">
      <c r="A59" s="62"/>
      <c r="B59" s="62"/>
      <c r="C59" s="62"/>
      <c r="D59" s="62"/>
      <c r="E59" s="62"/>
      <c r="F59" s="90"/>
      <c r="G59" s="107"/>
      <c r="H59" s="77">
        <v>7</v>
      </c>
      <c r="I59" s="31" t="str">
        <f t="shared" si="54"/>
        <v>MR.BRBNTS.P014</v>
      </c>
      <c r="J59" s="31" t="str">
        <f t="shared" si="55"/>
        <v xml:space="preserve"> -8.402572°</v>
      </c>
      <c r="K59" s="31" t="str">
        <f t="shared" si="56"/>
        <v>115.316321°</v>
      </c>
      <c r="L59" s="32" t="str">
        <f t="shared" si="57"/>
        <v>JALAN BANJAR BANTAS MANUKAYA</v>
      </c>
      <c r="M59" s="31" t="str">
        <f t="shared" si="7"/>
        <v>BALI</v>
      </c>
      <c r="N59" s="31" t="str">
        <f t="shared" si="8"/>
        <v>DENPASAR</v>
      </c>
      <c r="O59" s="31" t="str">
        <f t="shared" si="9"/>
        <v>TAMPAKSIRING</v>
      </c>
      <c r="P59" s="31" t="str">
        <f t="shared" si="10"/>
        <v>MANUKAYA</v>
      </c>
      <c r="Q59" s="31">
        <f t="shared" si="11"/>
        <v>80552</v>
      </c>
      <c r="R59" s="31" t="str">
        <f t="shared" si="12"/>
        <v>-</v>
      </c>
      <c r="S59" s="31" t="str">
        <f t="shared" si="13"/>
        <v>-</v>
      </c>
      <c r="T59" s="31" t="str">
        <f t="shared" si="14"/>
        <v>-</v>
      </c>
      <c r="U59" s="31" t="str">
        <f t="shared" si="15"/>
        <v>FTTH</v>
      </c>
      <c r="V59" s="31" t="str">
        <f t="shared" si="16"/>
        <v>-</v>
      </c>
      <c r="W59" s="31" t="str">
        <f t="shared" si="17"/>
        <v>General Retail</v>
      </c>
      <c r="X59" s="31" t="str">
        <f t="shared" si="2"/>
        <v>-</v>
      </c>
      <c r="Y59" s="78"/>
      <c r="Z59" s="79" t="str">
        <f t="shared" si="18"/>
        <v>BANJAR BANTAS MANUKAYA BALI</v>
      </c>
      <c r="AA59" s="79" t="str">
        <f t="shared" si="19"/>
        <v>BANJAR BANTAS MANUKAYA BALI</v>
      </c>
      <c r="AB59" s="26" t="str">
        <f t="shared" si="24"/>
        <v>-</v>
      </c>
      <c r="AC59" s="26" t="str">
        <f t="shared" si="25"/>
        <v>-</v>
      </c>
      <c r="AD59" s="39" t="str">
        <f t="shared" si="20"/>
        <v xml:space="preserve">JALAN </v>
      </c>
      <c r="AE59" s="32" t="str">
        <f t="shared" si="26"/>
        <v>BANJAR BANTAS MANUKAYA</v>
      </c>
      <c r="AF59" s="34"/>
      <c r="AG59" s="41"/>
      <c r="AH59" s="41"/>
      <c r="AI59" s="80"/>
      <c r="AJ59" s="81" t="str">
        <f t="shared" si="21"/>
        <v>-</v>
      </c>
      <c r="AK59" s="98" t="s">
        <v>146</v>
      </c>
      <c r="AL59" s="82" t="s">
        <v>77</v>
      </c>
      <c r="AM59" s="34"/>
      <c r="AN59" s="34"/>
      <c r="AO59" s="34"/>
      <c r="AP59" s="34"/>
      <c r="AQ59" s="26"/>
      <c r="AR59" s="39" t="s">
        <v>78</v>
      </c>
      <c r="AS59" s="39" t="str">
        <f t="shared" si="22"/>
        <v>DPS.100.2701</v>
      </c>
      <c r="AT59" s="41"/>
      <c r="AU59" s="39" t="str">
        <f t="shared" si="23"/>
        <v>DPS.100.2701.BRBNTS.043</v>
      </c>
      <c r="AV59" s="83" t="s">
        <v>85</v>
      </c>
      <c r="AW59" s="60"/>
      <c r="AX59" s="100">
        <v>-8.4019999999999992</v>
      </c>
      <c r="AY59" s="100">
        <v>115.316625</v>
      </c>
      <c r="AZ59" s="52"/>
      <c r="BA59" s="39"/>
      <c r="BB59" s="39"/>
      <c r="BC59" s="39"/>
      <c r="BD59" s="39"/>
      <c r="BE59" s="39"/>
      <c r="BF59" s="39"/>
      <c r="BG59" s="39"/>
      <c r="BH59" s="39"/>
      <c r="BI59" s="39"/>
      <c r="BJ59" s="84"/>
    </row>
    <row r="60" spans="1:62" s="110" customFormat="1" ht="18" customHeight="1" x14ac:dyDescent="0.25">
      <c r="A60" s="62"/>
      <c r="B60" s="62"/>
      <c r="C60" s="62"/>
      <c r="D60" s="62"/>
      <c r="E60" s="62"/>
      <c r="F60" s="90"/>
      <c r="G60" s="107"/>
      <c r="H60" s="77">
        <v>8</v>
      </c>
      <c r="I60" s="31" t="str">
        <f t="shared" si="54"/>
        <v>MR.BRBNTS.P014</v>
      </c>
      <c r="J60" s="31" t="str">
        <f t="shared" si="55"/>
        <v xml:space="preserve"> -8.402572°</v>
      </c>
      <c r="K60" s="31" t="str">
        <f t="shared" si="56"/>
        <v>115.316321°</v>
      </c>
      <c r="L60" s="32" t="str">
        <f t="shared" si="57"/>
        <v>JALAN BANJAR BANTAS MANUKAYA</v>
      </c>
      <c r="M60" s="31" t="str">
        <f t="shared" si="7"/>
        <v>BALI</v>
      </c>
      <c r="N60" s="31" t="str">
        <f t="shared" si="8"/>
        <v>DENPASAR</v>
      </c>
      <c r="O60" s="31" t="str">
        <f t="shared" si="9"/>
        <v>TAMPAKSIRING</v>
      </c>
      <c r="P60" s="31" t="str">
        <f t="shared" si="10"/>
        <v>MANUKAYA</v>
      </c>
      <c r="Q60" s="31">
        <f t="shared" si="11"/>
        <v>80552</v>
      </c>
      <c r="R60" s="31" t="str">
        <f t="shared" si="12"/>
        <v>-</v>
      </c>
      <c r="S60" s="31" t="str">
        <f t="shared" si="13"/>
        <v>-</v>
      </c>
      <c r="T60" s="31" t="str">
        <f t="shared" si="14"/>
        <v>-</v>
      </c>
      <c r="U60" s="31" t="str">
        <f t="shared" si="15"/>
        <v>FTTH</v>
      </c>
      <c r="V60" s="31" t="str">
        <f t="shared" si="16"/>
        <v>-</v>
      </c>
      <c r="W60" s="31" t="str">
        <f t="shared" si="17"/>
        <v>General Retail</v>
      </c>
      <c r="X60" s="31" t="str">
        <f t="shared" si="2"/>
        <v>-</v>
      </c>
      <c r="Y60" s="78"/>
      <c r="Z60" s="79" t="str">
        <f t="shared" si="18"/>
        <v>BANJAR BANTAS MANUKAYA BALI</v>
      </c>
      <c r="AA60" s="79" t="str">
        <f t="shared" si="19"/>
        <v>BANJAR BANTAS MANUKAYA BALI</v>
      </c>
      <c r="AB60" s="26" t="str">
        <f t="shared" si="24"/>
        <v>-</v>
      </c>
      <c r="AC60" s="26" t="str">
        <f t="shared" si="25"/>
        <v>-</v>
      </c>
      <c r="AD60" s="39" t="str">
        <f t="shared" si="20"/>
        <v xml:space="preserve">JALAN </v>
      </c>
      <c r="AE60" s="32" t="str">
        <f t="shared" si="26"/>
        <v>BANJAR BANTAS MANUKAYA</v>
      </c>
      <c r="AF60" s="34"/>
      <c r="AG60" s="41"/>
      <c r="AH60" s="41"/>
      <c r="AI60" s="80"/>
      <c r="AJ60" s="81" t="str">
        <f t="shared" si="21"/>
        <v>-</v>
      </c>
      <c r="AK60" s="98" t="s">
        <v>147</v>
      </c>
      <c r="AL60" s="82" t="s">
        <v>77</v>
      </c>
      <c r="AM60" s="34"/>
      <c r="AN60" s="34"/>
      <c r="AO60" s="34"/>
      <c r="AP60" s="34"/>
      <c r="AQ60" s="26"/>
      <c r="AR60" s="39" t="s">
        <v>78</v>
      </c>
      <c r="AS60" s="39" t="str">
        <f t="shared" si="22"/>
        <v>DPS.100.2701</v>
      </c>
      <c r="AT60" s="41"/>
      <c r="AU60" s="39" t="str">
        <f t="shared" si="23"/>
        <v>DPS.100.2701.BRBNTS.043</v>
      </c>
      <c r="AV60" s="83" t="s">
        <v>85</v>
      </c>
      <c r="AW60" s="60"/>
      <c r="AX60" s="100">
        <v>-8.4021279999999994</v>
      </c>
      <c r="AY60" s="100">
        <v>115.316568</v>
      </c>
      <c r="AZ60" s="52"/>
      <c r="BA60" s="39"/>
      <c r="BB60" s="39"/>
      <c r="BC60" s="39"/>
      <c r="BD60" s="39"/>
      <c r="BE60" s="39"/>
      <c r="BF60" s="39"/>
      <c r="BG60" s="39"/>
      <c r="BH60" s="39"/>
      <c r="BI60" s="39"/>
      <c r="BJ60" s="84"/>
    </row>
    <row r="61" spans="1:62" s="110" customFormat="1" ht="18" customHeight="1" x14ac:dyDescent="0.25">
      <c r="A61" s="89"/>
      <c r="B61" s="89"/>
      <c r="C61" s="89"/>
      <c r="D61" s="89"/>
      <c r="E61" s="89"/>
      <c r="F61" s="90"/>
      <c r="G61" s="89"/>
      <c r="H61" s="77">
        <v>9</v>
      </c>
      <c r="I61" s="31" t="str">
        <f t="shared" si="54"/>
        <v>MR.BRBNTS.P014</v>
      </c>
      <c r="J61" s="31" t="str">
        <f t="shared" si="55"/>
        <v xml:space="preserve"> -8.402572°</v>
      </c>
      <c r="K61" s="31" t="str">
        <f t="shared" si="56"/>
        <v>115.316321°</v>
      </c>
      <c r="L61" s="32" t="str">
        <f t="shared" si="57"/>
        <v>JALAN BANJAR BANTAS MANUKAYA</v>
      </c>
      <c r="M61" s="31" t="str">
        <f t="shared" si="7"/>
        <v>BALI</v>
      </c>
      <c r="N61" s="31" t="str">
        <f t="shared" si="8"/>
        <v>DENPASAR</v>
      </c>
      <c r="O61" s="31" t="str">
        <f t="shared" si="9"/>
        <v>TAMPAKSIRING</v>
      </c>
      <c r="P61" s="31" t="str">
        <f t="shared" si="10"/>
        <v>MANUKAYA</v>
      </c>
      <c r="Q61" s="31">
        <f t="shared" si="11"/>
        <v>80552</v>
      </c>
      <c r="R61" s="31" t="str">
        <f t="shared" si="12"/>
        <v>-</v>
      </c>
      <c r="S61" s="31" t="str">
        <f t="shared" si="13"/>
        <v>-</v>
      </c>
      <c r="T61" s="31" t="str">
        <f t="shared" si="14"/>
        <v>-</v>
      </c>
      <c r="U61" s="31" t="str">
        <f t="shared" si="15"/>
        <v>FTTH</v>
      </c>
      <c r="V61" s="31" t="str">
        <f t="shared" si="16"/>
        <v>-</v>
      </c>
      <c r="W61" s="31" t="str">
        <f t="shared" si="17"/>
        <v>General Retail</v>
      </c>
      <c r="X61" s="31" t="str">
        <f t="shared" si="2"/>
        <v>-</v>
      </c>
      <c r="Y61" s="78"/>
      <c r="Z61" s="79" t="str">
        <f t="shared" si="18"/>
        <v>BANJAR BANTAS MANUKAYA BALI</v>
      </c>
      <c r="AA61" s="79" t="str">
        <f t="shared" si="19"/>
        <v>BANJAR BANTAS MANUKAYA BALI</v>
      </c>
      <c r="AB61" s="26" t="str">
        <f t="shared" si="24"/>
        <v>-</v>
      </c>
      <c r="AC61" s="26" t="str">
        <f t="shared" si="25"/>
        <v>-</v>
      </c>
      <c r="AD61" s="39" t="str">
        <f t="shared" si="20"/>
        <v xml:space="preserve">JALAN </v>
      </c>
      <c r="AE61" s="32" t="str">
        <f t="shared" si="26"/>
        <v>BANJAR BANTAS MANUKAYA</v>
      </c>
      <c r="AF61" s="34"/>
      <c r="AG61" s="41"/>
      <c r="AH61" s="41"/>
      <c r="AI61" s="80"/>
      <c r="AJ61" s="81" t="str">
        <f t="shared" si="21"/>
        <v>-</v>
      </c>
      <c r="AK61" s="98" t="s">
        <v>148</v>
      </c>
      <c r="AL61" s="82" t="s">
        <v>77</v>
      </c>
      <c r="AM61" s="34"/>
      <c r="AN61" s="34"/>
      <c r="AO61" s="34"/>
      <c r="AP61" s="34"/>
      <c r="AQ61" s="26"/>
      <c r="AR61" s="39" t="s">
        <v>78</v>
      </c>
      <c r="AS61" s="39" t="str">
        <f t="shared" si="22"/>
        <v>DPS.100.2701</v>
      </c>
      <c r="AT61" s="41"/>
      <c r="AU61" s="39" t="str">
        <f t="shared" si="23"/>
        <v>DPS.100.2701.BRBNTS.043</v>
      </c>
      <c r="AV61" s="83" t="s">
        <v>85</v>
      </c>
      <c r="AW61" s="60"/>
      <c r="AX61" s="100">
        <v>-8.4023299999999992</v>
      </c>
      <c r="AY61" s="100">
        <v>115.316519</v>
      </c>
      <c r="AZ61" s="52"/>
      <c r="BA61" s="39"/>
      <c r="BB61" s="39"/>
      <c r="BC61" s="39"/>
      <c r="BD61" s="39"/>
      <c r="BE61" s="39"/>
      <c r="BF61" s="39"/>
      <c r="BG61" s="39"/>
      <c r="BH61" s="39"/>
      <c r="BI61" s="39"/>
      <c r="BJ61" s="84"/>
    </row>
    <row r="62" spans="1:62" s="110" customFormat="1" ht="18" customHeight="1" x14ac:dyDescent="0.25">
      <c r="A62" s="89"/>
      <c r="B62" s="89"/>
      <c r="C62" s="89"/>
      <c r="D62" s="89"/>
      <c r="E62" s="89"/>
      <c r="F62" s="89"/>
      <c r="G62" s="89"/>
      <c r="H62" s="77">
        <v>10</v>
      </c>
      <c r="I62" s="31" t="str">
        <f t="shared" si="54"/>
        <v>MR.BRBNTS.P014</v>
      </c>
      <c r="J62" s="31" t="str">
        <f t="shared" si="55"/>
        <v xml:space="preserve"> -8.402572°</v>
      </c>
      <c r="K62" s="31" t="str">
        <f t="shared" si="56"/>
        <v>115.316321°</v>
      </c>
      <c r="L62" s="32" t="str">
        <f t="shared" si="57"/>
        <v>JALAN BANJAR BANTAS MANUKAYA</v>
      </c>
      <c r="M62" s="31" t="str">
        <f t="shared" si="7"/>
        <v>BALI</v>
      </c>
      <c r="N62" s="31" t="str">
        <f t="shared" si="8"/>
        <v>DENPASAR</v>
      </c>
      <c r="O62" s="31" t="str">
        <f t="shared" si="9"/>
        <v>TAMPAKSIRING</v>
      </c>
      <c r="P62" s="31" t="str">
        <f t="shared" si="10"/>
        <v>MANUKAYA</v>
      </c>
      <c r="Q62" s="31">
        <f t="shared" si="11"/>
        <v>80552</v>
      </c>
      <c r="R62" s="31" t="str">
        <f t="shared" si="12"/>
        <v>-</v>
      </c>
      <c r="S62" s="31" t="str">
        <f t="shared" si="13"/>
        <v>-</v>
      </c>
      <c r="T62" s="31" t="str">
        <f t="shared" si="14"/>
        <v>-</v>
      </c>
      <c r="U62" s="31" t="str">
        <f t="shared" si="15"/>
        <v>FTTH</v>
      </c>
      <c r="V62" s="31" t="str">
        <f t="shared" si="16"/>
        <v>-</v>
      </c>
      <c r="W62" s="31" t="str">
        <f t="shared" si="17"/>
        <v>General Retail</v>
      </c>
      <c r="X62" s="31" t="str">
        <f t="shared" si="2"/>
        <v>-</v>
      </c>
      <c r="Y62" s="78"/>
      <c r="Z62" s="79" t="str">
        <f t="shared" si="18"/>
        <v>BANJAR BANTAS MANUKAYA BALI</v>
      </c>
      <c r="AA62" s="79" t="str">
        <f t="shared" si="19"/>
        <v>BANJAR BANTAS MANUKAYA BALI</v>
      </c>
      <c r="AB62" s="26" t="str">
        <f t="shared" si="24"/>
        <v>-</v>
      </c>
      <c r="AC62" s="26" t="str">
        <f t="shared" si="25"/>
        <v>-</v>
      </c>
      <c r="AD62" s="39" t="str">
        <f t="shared" si="20"/>
        <v xml:space="preserve">JALAN </v>
      </c>
      <c r="AE62" s="32" t="str">
        <f t="shared" si="26"/>
        <v>BANJAR BANTAS MANUKAYA</v>
      </c>
      <c r="AF62" s="34"/>
      <c r="AG62" s="41"/>
      <c r="AH62" s="41"/>
      <c r="AI62" s="80"/>
      <c r="AJ62" s="81" t="str">
        <f t="shared" si="21"/>
        <v>-</v>
      </c>
      <c r="AK62" s="98" t="s">
        <v>149</v>
      </c>
      <c r="AL62" s="82" t="s">
        <v>77</v>
      </c>
      <c r="AM62" s="34"/>
      <c r="AN62" s="34"/>
      <c r="AO62" s="34"/>
      <c r="AP62" s="34"/>
      <c r="AQ62" s="26"/>
      <c r="AR62" s="39" t="s">
        <v>78</v>
      </c>
      <c r="AS62" s="39" t="str">
        <f t="shared" si="22"/>
        <v>DPS.100.2701</v>
      </c>
      <c r="AT62" s="41"/>
      <c r="AU62" s="39" t="str">
        <f t="shared" si="23"/>
        <v>DPS.100.2701.BRBNTS.043</v>
      </c>
      <c r="AV62" s="83" t="s">
        <v>85</v>
      </c>
      <c r="AW62" s="60"/>
      <c r="AX62" s="100">
        <v>-8.4024809999999999</v>
      </c>
      <c r="AY62" s="100">
        <v>115.31646499999999</v>
      </c>
      <c r="AZ62" s="52"/>
      <c r="BA62" s="39"/>
      <c r="BB62" s="39"/>
      <c r="BC62" s="39"/>
      <c r="BD62" s="39"/>
      <c r="BE62" s="39"/>
      <c r="BF62" s="39"/>
      <c r="BG62" s="39"/>
      <c r="BH62" s="39"/>
      <c r="BI62" s="39"/>
      <c r="BJ62" s="84"/>
    </row>
    <row r="63" spans="1:62" s="110" customFormat="1" ht="18" customHeight="1" x14ac:dyDescent="0.25">
      <c r="A63" s="89"/>
      <c r="B63" s="89"/>
      <c r="C63" s="89"/>
      <c r="D63" s="89"/>
      <c r="E63" s="89"/>
      <c r="F63" s="89"/>
      <c r="G63" s="89"/>
      <c r="H63" s="77">
        <v>11</v>
      </c>
      <c r="I63" s="31" t="str">
        <f t="shared" si="54"/>
        <v>MR.BRBNTS.P014</v>
      </c>
      <c r="J63" s="31" t="str">
        <f t="shared" si="55"/>
        <v xml:space="preserve"> -8.402572°</v>
      </c>
      <c r="K63" s="31" t="str">
        <f t="shared" si="56"/>
        <v>115.316321°</v>
      </c>
      <c r="L63" s="32" t="str">
        <f t="shared" si="57"/>
        <v>JALAN BANJAR BANTAS MANUKAYA</v>
      </c>
      <c r="M63" s="31" t="str">
        <f t="shared" si="7"/>
        <v>BALI</v>
      </c>
      <c r="N63" s="31" t="str">
        <f t="shared" si="8"/>
        <v>DENPASAR</v>
      </c>
      <c r="O63" s="31" t="str">
        <f t="shared" si="9"/>
        <v>TAMPAKSIRING</v>
      </c>
      <c r="P63" s="31" t="str">
        <f t="shared" si="10"/>
        <v>MANUKAYA</v>
      </c>
      <c r="Q63" s="31">
        <f t="shared" si="11"/>
        <v>80552</v>
      </c>
      <c r="R63" s="31" t="str">
        <f t="shared" si="12"/>
        <v>-</v>
      </c>
      <c r="S63" s="31" t="str">
        <f t="shared" si="13"/>
        <v>-</v>
      </c>
      <c r="T63" s="31" t="str">
        <f t="shared" si="14"/>
        <v>-</v>
      </c>
      <c r="U63" s="31" t="str">
        <f t="shared" si="15"/>
        <v>FTTH</v>
      </c>
      <c r="V63" s="31" t="str">
        <f t="shared" si="16"/>
        <v>-</v>
      </c>
      <c r="W63" s="31" t="str">
        <f t="shared" si="17"/>
        <v>General Retail</v>
      </c>
      <c r="X63" s="31" t="str">
        <f t="shared" si="2"/>
        <v>-</v>
      </c>
      <c r="Y63" s="78"/>
      <c r="Z63" s="79" t="str">
        <f t="shared" si="18"/>
        <v>BANJAR BANTAS MANUKAYA BALI</v>
      </c>
      <c r="AA63" s="79" t="str">
        <f t="shared" si="19"/>
        <v>BANJAR BANTAS MANUKAYA BALI</v>
      </c>
      <c r="AB63" s="26" t="str">
        <f t="shared" si="24"/>
        <v>-</v>
      </c>
      <c r="AC63" s="26" t="str">
        <f t="shared" si="25"/>
        <v>-</v>
      </c>
      <c r="AD63" s="39" t="str">
        <f t="shared" si="20"/>
        <v xml:space="preserve">JALAN </v>
      </c>
      <c r="AE63" s="32" t="str">
        <f t="shared" si="26"/>
        <v>BANJAR BANTAS MANUKAYA</v>
      </c>
      <c r="AF63" s="34"/>
      <c r="AG63" s="41"/>
      <c r="AH63" s="41"/>
      <c r="AI63" s="80"/>
      <c r="AJ63" s="81" t="str">
        <f t="shared" si="21"/>
        <v>-</v>
      </c>
      <c r="AK63" s="98" t="s">
        <v>150</v>
      </c>
      <c r="AL63" s="82" t="s">
        <v>77</v>
      </c>
      <c r="AM63" s="34"/>
      <c r="AN63" s="34"/>
      <c r="AO63" s="34"/>
      <c r="AP63" s="34"/>
      <c r="AQ63" s="26"/>
      <c r="AR63" s="39" t="s">
        <v>78</v>
      </c>
      <c r="AS63" s="39" t="str">
        <f t="shared" si="22"/>
        <v>DPS.100.2701</v>
      </c>
      <c r="AT63" s="41"/>
      <c r="AU63" s="39" t="str">
        <f t="shared" si="23"/>
        <v>DPS.100.2701.BRBNTS.043</v>
      </c>
      <c r="AV63" s="83" t="s">
        <v>85</v>
      </c>
      <c r="AW63" s="60"/>
      <c r="AX63" s="100">
        <v>-8.4026870000000002</v>
      </c>
      <c r="AY63" s="100">
        <v>115.316417</v>
      </c>
      <c r="AZ63" s="52"/>
      <c r="BA63" s="39"/>
      <c r="BB63" s="39"/>
      <c r="BC63" s="39"/>
      <c r="BD63" s="39"/>
      <c r="BE63" s="39"/>
      <c r="BF63" s="39"/>
      <c r="BG63" s="39"/>
      <c r="BH63" s="39"/>
      <c r="BI63" s="39"/>
      <c r="BJ63" s="84"/>
    </row>
    <row r="64" spans="1:62" s="110" customFormat="1" ht="18" customHeight="1" x14ac:dyDescent="0.25">
      <c r="A64" s="89"/>
      <c r="B64" s="89"/>
      <c r="C64" s="89"/>
      <c r="D64" s="89"/>
      <c r="E64" s="89"/>
      <c r="F64" s="89"/>
      <c r="G64" s="89"/>
      <c r="H64" s="77">
        <v>12</v>
      </c>
      <c r="I64" s="31" t="str">
        <f t="shared" si="54"/>
        <v>MR.BRBNTS.P014</v>
      </c>
      <c r="J64" s="31" t="str">
        <f t="shared" si="55"/>
        <v xml:space="preserve"> -8.402572°</v>
      </c>
      <c r="K64" s="31" t="str">
        <f t="shared" si="56"/>
        <v>115.316321°</v>
      </c>
      <c r="L64" s="32" t="str">
        <f t="shared" si="57"/>
        <v>JALAN BANJAR BANTAS MANUKAYA</v>
      </c>
      <c r="M64" s="31" t="str">
        <f t="shared" si="7"/>
        <v>BALI</v>
      </c>
      <c r="N64" s="31" t="str">
        <f t="shared" si="8"/>
        <v>DENPASAR</v>
      </c>
      <c r="O64" s="31" t="str">
        <f t="shared" si="9"/>
        <v>TAMPAKSIRING</v>
      </c>
      <c r="P64" s="31" t="str">
        <f t="shared" si="10"/>
        <v>MANUKAYA</v>
      </c>
      <c r="Q64" s="31">
        <f t="shared" si="11"/>
        <v>80552</v>
      </c>
      <c r="R64" s="31" t="str">
        <f t="shared" si="12"/>
        <v>-</v>
      </c>
      <c r="S64" s="31" t="str">
        <f t="shared" si="13"/>
        <v>-</v>
      </c>
      <c r="T64" s="31" t="str">
        <f t="shared" si="14"/>
        <v>-</v>
      </c>
      <c r="U64" s="31" t="str">
        <f t="shared" si="15"/>
        <v>FTTH</v>
      </c>
      <c r="V64" s="31" t="str">
        <f t="shared" si="16"/>
        <v>-</v>
      </c>
      <c r="W64" s="31" t="str">
        <f t="shared" si="17"/>
        <v>General Retail</v>
      </c>
      <c r="X64" s="31" t="str">
        <f t="shared" si="2"/>
        <v>-</v>
      </c>
      <c r="Y64" s="78"/>
      <c r="Z64" s="79" t="str">
        <f t="shared" si="18"/>
        <v>BANJAR BANTAS MANUKAYA BALI</v>
      </c>
      <c r="AA64" s="79" t="str">
        <f t="shared" si="19"/>
        <v>BANJAR BANTAS MANUKAYA BALI</v>
      </c>
      <c r="AB64" s="26" t="str">
        <f t="shared" si="24"/>
        <v>-</v>
      </c>
      <c r="AC64" s="26" t="str">
        <f t="shared" si="25"/>
        <v>-</v>
      </c>
      <c r="AD64" s="39" t="str">
        <f t="shared" si="20"/>
        <v xml:space="preserve">JALAN </v>
      </c>
      <c r="AE64" s="32" t="str">
        <f t="shared" si="26"/>
        <v>BANJAR BANTAS MANUKAYA</v>
      </c>
      <c r="AF64" s="34"/>
      <c r="AG64" s="41"/>
      <c r="AH64" s="41"/>
      <c r="AI64" s="80"/>
      <c r="AJ64" s="81" t="str">
        <f t="shared" si="21"/>
        <v>-</v>
      </c>
      <c r="AK64" s="98" t="s">
        <v>151</v>
      </c>
      <c r="AL64" s="82" t="s">
        <v>77</v>
      </c>
      <c r="AM64" s="34"/>
      <c r="AN64" s="34"/>
      <c r="AO64" s="34"/>
      <c r="AP64" s="34"/>
      <c r="AQ64" s="26"/>
      <c r="AR64" s="39" t="s">
        <v>78</v>
      </c>
      <c r="AS64" s="39" t="str">
        <f t="shared" si="22"/>
        <v>DPS.100.2701</v>
      </c>
      <c r="AT64" s="41"/>
      <c r="AU64" s="39" t="str">
        <f t="shared" si="23"/>
        <v>DPS.100.2701.BRBNTS.043</v>
      </c>
      <c r="AV64" s="83" t="s">
        <v>85</v>
      </c>
      <c r="AW64" s="60"/>
      <c r="AX64" s="100">
        <v>-8.4028860000000005</v>
      </c>
      <c r="AY64" s="100">
        <v>115.31639699999999</v>
      </c>
      <c r="AZ64" s="52"/>
      <c r="BA64" s="39"/>
      <c r="BB64" s="39"/>
      <c r="BC64" s="39"/>
      <c r="BD64" s="39"/>
      <c r="BE64" s="39"/>
      <c r="BF64" s="39"/>
      <c r="BG64" s="39"/>
      <c r="BH64" s="39"/>
      <c r="BI64" s="39"/>
      <c r="BJ64" s="84"/>
    </row>
  </sheetData>
  <autoFilter ref="A8:BJ64" xr:uid="{00000000-0009-0000-0000-000000000000}"/>
  <mergeCells count="8">
    <mergeCell ref="G9:G10"/>
    <mergeCell ref="G19:G20"/>
    <mergeCell ref="G31:G32"/>
    <mergeCell ref="G48:G49"/>
    <mergeCell ref="G59:G60"/>
    <mergeCell ref="G25:G26"/>
    <mergeCell ref="G40:G41"/>
    <mergeCell ref="G53:G54"/>
  </mergeCells>
  <phoneticPr fontId="18" type="noConversion"/>
  <conditionalFormatting sqref="AK9:AK64">
    <cfRule type="duplicateValues" dxfId="1" priority="59"/>
    <cfRule type="duplicateValues" dxfId="0" priority="60"/>
  </conditionalFormatting>
  <pageMargins left="0.75" right="0.75" top="1" bottom="1" header="0.5" footer="0.5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FDT-1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Ahmad Ariansyah</cp:lastModifiedBy>
  <dcterms:created xsi:type="dcterms:W3CDTF">2025-07-29T04:37:00Z</dcterms:created>
  <dcterms:modified xsi:type="dcterms:W3CDTF">2026-09-16T09:39:49Z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DBFFECC8D51F4C928A0FC77097A0F182_12</vt:lpwstr>
  </property>
  <property fmtid="{D5CDD505-2E9C-101B-9397-08002B2CF9AE}" pid="3" name="KSOProductBuildVer">
    <vt:lpwstr>1033-12.2.0.21931</vt:lpwstr>
  </property>
</Properties>
</file>